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-150" yWindow="-480" windowWidth="26430" windowHeight="11715"/>
  </bookViews>
  <sheets>
    <sheet name="Weekly Track" sheetId="2" r:id="rId1"/>
    <sheet name="Resource" sheetId="4" r:id="rId2"/>
    <sheet name="Holidays" sheetId="5" r:id="rId3"/>
    <sheet name="HTML.CSS ex" sheetId="7" r:id="rId4"/>
    <sheet name="React ex" sheetId="9" r:id="rId5"/>
    <sheet name="Q&amp;A" sheetId="10" r:id="rId6"/>
  </sheets>
  <functionGroups builtInGroupCount="17"/>
  <externalReferences>
    <externalReference r:id="rId7"/>
  </externalReferences>
  <definedNames>
    <definedName name="_xlnm._FilterDatabase" localSheetId="0" hidden="1">'Weekly Track'!$A$3:$X$28</definedName>
    <definedName name="_Toc117592290" localSheetId="0">'Weekly Track'!#REF!</definedName>
    <definedName name="_Toc203364621" localSheetId="0">'Weekly Track'!#REF!</definedName>
    <definedName name="_Toc240361033" localSheetId="0">'Weekly Track'!#REF!</definedName>
    <definedName name="_Toc240361080" localSheetId="0">'Weekly Track'!#REF!</definedName>
    <definedName name="Resource">Resource!#REF!</definedName>
    <definedName name="Z_00C12904_0F39_4BB5_8777_45349B322DDF_.wvu.FilterData" localSheetId="0" hidden="1">'Weekly Track'!$G$3:$V$28</definedName>
    <definedName name="Z_02EA41C7_FDA0_4098_B582_B7178000E158_.wvu.FilterData" localSheetId="0" hidden="1">'Weekly Track'!$G$3:$V$28</definedName>
    <definedName name="Z_04982118_2F11_4457_9ABB_74A35145DAA3_.wvu.FilterData" localSheetId="0" hidden="1">'Weekly Track'!$G$3:$V$28</definedName>
    <definedName name="Z_051D1CA9_AD3E_4268_8658_F8950473509F_.wvu.FilterData" localSheetId="0" hidden="1">'Weekly Track'!$A$3:$X$28</definedName>
    <definedName name="Z_0521475F_1811_4872_9395_60AAC50C2DCD_.wvu.FilterData" localSheetId="0" hidden="1">'Weekly Track'!$G$3:$V$28</definedName>
    <definedName name="Z_0550C95A_6F64_4305_985F_E66614A579E0_.wvu.FilterData" localSheetId="0" hidden="1">'Weekly Track'!$G$3:$V$28</definedName>
    <definedName name="Z_0619FF23_1DA1_4B1F_A482_0BADCA11BA8B_.wvu.FilterData" localSheetId="0" hidden="1">'Weekly Track'!$G$3:$V$28</definedName>
    <definedName name="Z_08933C08_013F_421B_8581_A823B4AC505C_.wvu.FilterData" localSheetId="0" hidden="1">'Weekly Track'!$G$3:$V$28</definedName>
    <definedName name="Z_090E3E51_0A72_4992_B1E9_190EFFE37BA4_.wvu.FilterData" localSheetId="0" hidden="1">'Weekly Track'!$G$3:$V$28</definedName>
    <definedName name="Z_0A8A44BC_FA6E_44CD_94F6_F4BD52D3D8DF_.wvu.FilterData" localSheetId="0" hidden="1">'Weekly Track'!$A$3:$X$3</definedName>
    <definedName name="Z_0ACCE16F_8973_46F8_AAF1_DE3AA25B49CA_.wvu.FilterData" localSheetId="0" hidden="1">'Weekly Track'!$G$3:$V$28</definedName>
    <definedName name="Z_0C8FC9E8_962B_430A_9708_BA9779ACBFED_.wvu.FilterData" localSheetId="0" hidden="1">'Weekly Track'!$G$3:$V$28</definedName>
    <definedName name="Z_0C92B64B_A181_4045_84D2_0A363414021A_.wvu.FilterData" localSheetId="0" hidden="1">'Weekly Track'!$G$3:$V$28</definedName>
    <definedName name="Z_0CFE29FB_CCEA_41DD_9A7F_7D1DF131DE2E_.wvu.FilterData" localSheetId="0" hidden="1">'Weekly Track'!$G$3:$V$28</definedName>
    <definedName name="Z_0D0AC848_C91D_4CB1_8E85_4269B6A1E780_.wvu.FilterData" localSheetId="0" hidden="1">'Weekly Track'!$G$3:$V$28</definedName>
    <definedName name="Z_0DBCCFC4_7B8A_480C_AC47_B992895D03C7_.wvu.FilterData" localSheetId="0" hidden="1">'Weekly Track'!$G$3:$V$28</definedName>
    <definedName name="Z_0DC96FD1_705B_4E19_BCF6_CE3C3114C104_.wvu.FilterData" localSheetId="0" hidden="1">'Weekly Track'!$G$3:$V$28</definedName>
    <definedName name="Z_1023276B_D2FF_4601_9DD5_8C3826F1A449_.wvu.FilterData" localSheetId="0" hidden="1">'Weekly Track'!$A$3:$X$28</definedName>
    <definedName name="Z_1185EBAB_7905_48AA_9180_57248D809106_.wvu.FilterData" localSheetId="0" hidden="1">'Weekly Track'!$G$3:$V$28</definedName>
    <definedName name="Z_11E4FD6A_5D86_4473_8EB0_4957AEE53AA7_.wvu.FilterData" localSheetId="0" hidden="1">'Weekly Track'!$G$3:$V$28</definedName>
    <definedName name="Z_11F47DB9_1ACE_4957_816A_14EEC3ADEF1C_.wvu.FilterData" localSheetId="0" hidden="1">'Weekly Track'!$A$3:$X$3</definedName>
    <definedName name="Z_133CA8B9_7F79_42A1_A25E_4EBC53F1D741_.wvu.FilterData" localSheetId="0" hidden="1">'Weekly Track'!$G$3:$V$28</definedName>
    <definedName name="Z_1420515F_7E6E_4C3A_89C7_13E1FD805E06_.wvu.FilterData" localSheetId="0" hidden="1">'Weekly Track'!$D$3:$U$13</definedName>
    <definedName name="Z_147E44D9_E4FC_4482_87E3_B633F9B273D0_.wvu.FilterData" localSheetId="0" hidden="1">'Weekly Track'!$G$3:$T$28</definedName>
    <definedName name="Z_19804A3E_778D_4D91_B608_5ADAAF85C496_.wvu.FilterData" localSheetId="0" hidden="1">'Weekly Track'!$G$3:$V$28</definedName>
    <definedName name="Z_19E79368_E7AE_480A_97F2_13710EB0110D_.wvu.FilterData" localSheetId="0" hidden="1">'Weekly Track'!$G$3:$V$28</definedName>
    <definedName name="Z_1A3EFEFF_0748_49A0_9110_27918F89CB6D_.wvu.FilterData" localSheetId="0" hidden="1">'Weekly Track'!$G$3:$V$28</definedName>
    <definedName name="Z_1B46AEB0_1A57_4C64_931A_F918F8CB5087_.wvu.FilterData" localSheetId="0" hidden="1">'Weekly Track'!$G$3:$V$28</definedName>
    <definedName name="Z_1D2BA0AD_06E1_4866_964D_5E7004F16B17_.wvu.FilterData" localSheetId="0" hidden="1">'Weekly Track'!$G$3:$V$28</definedName>
    <definedName name="Z_1E130549_9959_4252_A688_64524F9DE6ED_.wvu.FilterData" localSheetId="0" hidden="1">'Weekly Track'!$G$3:$V$28</definedName>
    <definedName name="Z_1E1837AC_6500_412C_AC8B_145E792BD927_.wvu.FilterData" localSheetId="0" hidden="1">'Weekly Track'!$G$3:$V$28</definedName>
    <definedName name="Z_204702EF_163B_47DB_97CC_AFCA7FC2DCCB_.wvu.FilterData" localSheetId="0" hidden="1">'Weekly Track'!$G$3:$V$28</definedName>
    <definedName name="Z_21947B16_03DB_420E_A067_52012B011E5B_.wvu.FilterData" localSheetId="0" hidden="1">'Weekly Track'!$G$3:$V$28</definedName>
    <definedName name="Z_21E79811_7AAF_43B9_9450_5F40BC87E44A_.wvu.FilterData" localSheetId="0" hidden="1">'Weekly Track'!$G$3:$V$28</definedName>
    <definedName name="Z_21EA2887_F0F4_49B3_9FD4_E1E36A59A832_.wvu.FilterData" localSheetId="0" hidden="1">'Weekly Track'!$G$3:$V$28</definedName>
    <definedName name="Z_21F882C6_CF86_4076_9613_A574329082AB_.wvu.FilterData" localSheetId="0" hidden="1">'Weekly Track'!$G$3:$V$28</definedName>
    <definedName name="Z_221227E4_5837_4474_928D_3B123C1FAB43_.wvu.FilterData" localSheetId="0" hidden="1">'Weekly Track'!$A$3:$X$3</definedName>
    <definedName name="Z_235E86D7_1998_4E74_BA88_032387AAEB7D_.wvu.FilterData" localSheetId="0" hidden="1">'Weekly Track'!$G$3:$V$28</definedName>
    <definedName name="Z_240C286B_DB1E_4FFF_98C7_CE2B8E56FAEA_.wvu.FilterData" localSheetId="0" hidden="1">'Weekly Track'!$G$3:$V$28</definedName>
    <definedName name="Z_249B7347_A17D_411F_A78E_371D578D95CC_.wvu.FilterData" localSheetId="0" hidden="1">'Weekly Track'!$G$3:$V$28</definedName>
    <definedName name="Z_27DE5733_61ED_41EE_A69B_8BAB0CE5077A_.wvu.FilterData" localSheetId="0" hidden="1">'Weekly Track'!$G$3:$V$28</definedName>
    <definedName name="Z_28579E25_F775_48E1_98C2_206BE5E524FE_.wvu.FilterData" localSheetId="0" hidden="1">'Weekly Track'!$D$3:$U$13</definedName>
    <definedName name="Z_292CF9DA_146F_4228_9ED5_AA953B7BADDC_.wvu.FilterData" localSheetId="0" hidden="1">'Weekly Track'!$G$3:$V$28</definedName>
    <definedName name="Z_2AE8B063_C008_4732_B9E1_C08540CEC936_.wvu.FilterData" localSheetId="0" hidden="1">'Weekly Track'!$G$3:$V$28</definedName>
    <definedName name="Z_2B0AEC04_2208_40C7_A990_2E64D5BC84BC_.wvu.FilterData" localSheetId="0" hidden="1">'Weekly Track'!$G$3:$V$28</definedName>
    <definedName name="Z_2B94E893_B9F9_4D8D_A6EC_C1620352A1E5_.wvu.FilterData" localSheetId="0" hidden="1">'Weekly Track'!$G$3:$V$28</definedName>
    <definedName name="Z_2D6714CF_6449_4BE4_ABCF_EDD75EE725B9_.wvu.FilterData" localSheetId="0" hidden="1">'Weekly Track'!$A$3:$X$3</definedName>
    <definedName name="Z_314F1405_BCA7_462C_A888_7EF5EBD97E41_.wvu.FilterData" localSheetId="0" hidden="1">'Weekly Track'!$G$3:$V$28</definedName>
    <definedName name="Z_326C8FC0_2E8F_4B44_A850_D864A733491F_.wvu.FilterData" localSheetId="0" hidden="1">'Weekly Track'!$G$3:$V$28</definedName>
    <definedName name="Z_32B057F2_AD17_49DD_8F81_8E9DE3B9727F_.wvu.FilterData" localSheetId="0" hidden="1">'Weekly Track'!$A$3:$X$28</definedName>
    <definedName name="Z_32B3CDDE_1894_4040_86AB_8B6DEAAC00DB_.wvu.FilterData" localSheetId="0" hidden="1">'Weekly Track'!$D$3:$U$13</definedName>
    <definedName name="Z_350BD852_E525_4C08_B699_72BCDC6AA87E_.wvu.FilterData" localSheetId="0" hidden="1">'Weekly Track'!$A$3:$X$28</definedName>
    <definedName name="Z_3AB47DEE_BDDC_49B1_BC59_135C414C3348_.wvu.FilterData" localSheetId="0" hidden="1">'Weekly Track'!$G$3:$V$28</definedName>
    <definedName name="Z_3D68303D_5E50_44AA_9745_976E940C48C6_.wvu.FilterData" localSheetId="0" hidden="1">'Weekly Track'!$D$3:$U$13</definedName>
    <definedName name="Z_3EBC3237_7050_471A_BD63_069C3642D1B2_.wvu.FilterData" localSheetId="0" hidden="1">'Weekly Track'!$G$3:$V$28</definedName>
    <definedName name="Z_3F61DDB4_5C20_4C58_BC97_8AB8F529FFA8_.wvu.FilterData" localSheetId="0" hidden="1">'Weekly Track'!$A$3:$X$28</definedName>
    <definedName name="Z_4089CAC6_B2CF_429C_8818_EC52E320D08A_.wvu.FilterData" localSheetId="0" hidden="1">'Weekly Track'!$D$3:$U$13</definedName>
    <definedName name="Z_409B0F44_3186_4213_8768_12D5F380C844_.wvu.FilterData" localSheetId="0" hidden="1">'Weekly Track'!$G$3:$V$28</definedName>
    <definedName name="Z_427FE646_5D59_4038_866F_48BE8DFAF21D_.wvu.FilterData" localSheetId="0" hidden="1">'Weekly Track'!$D$3:$U$13</definedName>
    <definedName name="Z_44117B2C_C61F_437C_A9C5_65A80C2AE348_.wvu.FilterData" localSheetId="0" hidden="1">'Weekly Track'!$G$3:$V$28</definedName>
    <definedName name="Z_467EAE63_0D62_43B4_9E5B_4DED4A9D0236_.wvu.FilterData" localSheetId="0" hidden="1">'Weekly Track'!$G$3:$V$28</definedName>
    <definedName name="Z_476398F1_D58F_4CE6_BEA5_3F7BF8A8FFFB_.wvu.FilterData" localSheetId="0" hidden="1">'Weekly Track'!$G$3:$V$28</definedName>
    <definedName name="Z_496B1B49_F920_48C1_B26E_9A1F4E6E5157_.wvu.FilterData" localSheetId="0" hidden="1">'Weekly Track'!$D$3:$U$13</definedName>
    <definedName name="Z_4A609050_BAFC_4F83_AA06_684ED0391BEC_.wvu.FilterData" localSheetId="0" hidden="1">'Weekly Track'!$G$3:$V$28</definedName>
    <definedName name="Z_4A749D27_40AD_4A0F_BF83_5B811DC1C678_.wvu.FilterData" localSheetId="0" hidden="1">'Weekly Track'!$G$3:$V$28</definedName>
    <definedName name="Z_4E04FC2D_BCD1_4283_9D4C_078BB0C587C4_.wvu.FilterData" localSheetId="0" hidden="1">'Weekly Track'!$G$3:$V$28</definedName>
    <definedName name="Z_4EB27A75_F2D3_4A1F_9A2D_B50F0E4F43E1_.wvu.FilterData" localSheetId="0" hidden="1">'Weekly Track'!$G$3:$V$28</definedName>
    <definedName name="Z_4FDA3C8C_2A48_416C_AA66_16E8E291C87E_.wvu.FilterData" localSheetId="0" hidden="1">'Weekly Track'!$A$3:$X$3</definedName>
    <definedName name="Z_502081BD_CEE0_4206_97EA_C06712708CF3_.wvu.FilterData" localSheetId="0" hidden="1">'Weekly Track'!$G$3:$V$28</definedName>
    <definedName name="Z_50851BF0_3D6A_4ABC_AE6E_C5F6BA755715_.wvu.FilterData" localSheetId="0" hidden="1">'Weekly Track'!$A$3:$X$28</definedName>
    <definedName name="Z_50FFBA47_E221_4143_975E_6534E8666EFA_.wvu.FilterData" localSheetId="0" hidden="1">'Weekly Track'!$G$3:$V$28</definedName>
    <definedName name="Z_521319B0_70C9_478D_B877_6AE94F61BBA5_.wvu.FilterData" localSheetId="0" hidden="1">'Weekly Track'!$A$3:$X$3</definedName>
    <definedName name="Z_52646C22_009A_42DB_9645_9B1CCBC06272_.wvu.FilterData" localSheetId="0" hidden="1">'Weekly Track'!$G$3:$V$28</definedName>
    <definedName name="Z_53B0B031_4890_42BB_8C05_7C33DB48BCAF_.wvu.FilterData" localSheetId="0" hidden="1">'Weekly Track'!$G$3:$V$28</definedName>
    <definedName name="Z_5505F1F1_88B7_4C1A_A235_B77DACA12021_.wvu.FilterData" localSheetId="0" hidden="1">'Weekly Track'!$G$3:$V$28</definedName>
    <definedName name="Z_553DCE70_E6A3_437B_8275_434BFC1E8E5D_.wvu.FilterData" localSheetId="0" hidden="1">'Weekly Track'!$G$3:$V$28</definedName>
    <definedName name="Z_57664585_C170_42FA_8A00_6B3C090AED91_.wvu.FilterData" localSheetId="0" hidden="1">'Weekly Track'!$G$3:$V$28</definedName>
    <definedName name="Z_5AAB0302_C818_4ED7_B430_DC730A4BE164_.wvu.FilterData" localSheetId="0" hidden="1">'Weekly Track'!$G$3:$V$28</definedName>
    <definedName name="Z_5BDD104E_85B6_4C19_82C5_56C90DAA5515_.wvu.FilterData" localSheetId="0" hidden="1">'Weekly Track'!$G$3:$V$28</definedName>
    <definedName name="Z_5DC62200_E966_42EC_876C_0B719896BF62_.wvu.FilterData" localSheetId="0" hidden="1">'Weekly Track'!$D$3:$U$13</definedName>
    <definedName name="Z_620DCB69_5E7F_4AA5_BB27_84CB099BE8DF_.wvu.FilterData" localSheetId="0" hidden="1">'Weekly Track'!$G$3:$V$28</definedName>
    <definedName name="Z_6226B060_09CB_4B2B_A198_007095FE3067_.wvu.FilterData" localSheetId="0" hidden="1">'Weekly Track'!$G$3:$V$28</definedName>
    <definedName name="Z_63BBB3C8_2BBD_47A9_8577_895E120CF491_.wvu.FilterData" localSheetId="0" hidden="1">'Weekly Track'!$A$3:$X$28</definedName>
    <definedName name="Z_640D93D1_5B1F_4BE9_88ED_E1402D87B4F6_.wvu.FilterData" localSheetId="0" hidden="1">'Weekly Track'!$G$3:$V$28</definedName>
    <definedName name="Z_654B7EBC_CC1B_4240_A240_724CFFA935E8_.wvu.FilterData" localSheetId="0" hidden="1">'Weekly Track'!$G$3:$V$28</definedName>
    <definedName name="Z_666C6E84_C39F_4FE4_8250_CCDB1379FB7B_.wvu.FilterData" localSheetId="0" hidden="1">'Weekly Track'!$G$3:$V$28</definedName>
    <definedName name="Z_66AA5AAA_E54D_4A50_AB0E_D892E8DA9C76_.wvu.FilterData" localSheetId="0" hidden="1">'Weekly Track'!$A$3:$X$3</definedName>
    <definedName name="Z_6765FBE4_42BF_4A6A_9B53_DC4D86B53E33_.wvu.FilterData" localSheetId="0" hidden="1">'Weekly Track'!$A$3:$X$3</definedName>
    <definedName name="Z_694005FD_C9F0_4198_8BAC_74BD82F47529_.wvu.FilterData" localSheetId="0" hidden="1">'Weekly Track'!$G$3:$V$28</definedName>
    <definedName name="Z_6ABFDB73_A4FC_493C_A504_1276E731333B_.wvu.FilterData" localSheetId="0" hidden="1">'Weekly Track'!$D$3:$U$13</definedName>
    <definedName name="Z_6AC162AB_41FA_41FC_98A6_92A30FDBFE79_.wvu.FilterData" localSheetId="0" hidden="1">'Weekly Track'!$G$3:$V$28</definedName>
    <definedName name="Z_726ABC29_762D_4EB0_A3C4_BEA5D31437A5_.wvu.FilterData" localSheetId="0" hidden="1">'Weekly Track'!$A$3:$X$28</definedName>
    <definedName name="Z_73565361_97F7_42F4_837A_37945610F80B_.wvu.FilterData" localSheetId="0" hidden="1">'Weekly Track'!$A$3:$X$3</definedName>
    <definedName name="Z_780A9B63_A10D_441C_98D5_E508127FB8F3_.wvu.FilterData" localSheetId="0" hidden="1">'Weekly Track'!$G$3:$V$28</definedName>
    <definedName name="Z_788C6CF5_F77E_4D9C_BA96_5155E5E0E952_.wvu.FilterData" localSheetId="0" hidden="1">'Weekly Track'!$G$3:$V$28</definedName>
    <definedName name="Z_797EC7E4_CD0B_440B_9831_AF91BE966163_.wvu.FilterData" localSheetId="0" hidden="1">'Weekly Track'!$G$3:$V$28</definedName>
    <definedName name="Z_7A8039F4_2212_481C_8239_0D5DB6EAD15B_.wvu.FilterData" localSheetId="0" hidden="1">'Weekly Track'!$G$3:$V$28</definedName>
    <definedName name="Z_7AC9EE31_E3C8_43A5_8490_C2342F28991D_.wvu.FilterData" localSheetId="0" hidden="1">'Weekly Track'!$A$3:$X$28</definedName>
    <definedName name="Z_7C7EFD68_65AB_43CC_9DA7_E16ECE7699E1_.wvu.FilterData" localSheetId="0" hidden="1">'Weekly Track'!$G$3:$V$28</definedName>
    <definedName name="Z_7D5872EC_CC8E_479C_9529_4DF3E5164B5A_.wvu.FilterData" localSheetId="0" hidden="1">'Weekly Track'!$G$3:$V$28</definedName>
    <definedName name="Z_7D59B872_BCED_4C65_AEE9_D3778DF325C0_.wvu.FilterData" localSheetId="0" hidden="1">'Weekly Track'!$G$3:$V$28</definedName>
    <definedName name="Z_7E427091_283A_453B_94EB_2B448709C24B_.wvu.FilterData" localSheetId="0" hidden="1">'Weekly Track'!$G$3:$V$28</definedName>
    <definedName name="Z_7F66006F_FB22_4A18_9D2F_3D56262D463D_.wvu.FilterData" localSheetId="0" hidden="1">'Weekly Track'!$D$3:$U$13</definedName>
    <definedName name="Z_7F7D6C57_8D32_42DD_83C8_C1398964CBF2_.wvu.FilterData" localSheetId="0" hidden="1">'Weekly Track'!$D$3:$U$13</definedName>
    <definedName name="Z_853418B4_E9D6_4704_AD48_F14C569ECDEF_.wvu.FilterData" localSheetId="0" hidden="1">'Weekly Track'!$A$3:$X$3</definedName>
    <definedName name="Z_884E568E_7343_4553_8712_275BBBAFF28F_.wvu.FilterData" localSheetId="0" hidden="1">'Weekly Track'!$G$3:$V$28</definedName>
    <definedName name="Z_88FC1F8F_0FEC_4714_9F1F_6E349F5436F0_.wvu.FilterData" localSheetId="0" hidden="1">'Weekly Track'!$A$3:$X$28</definedName>
    <definedName name="Z_8958DFB7_7BE8_4D56_8719_4AD78CB186A4_.wvu.FilterData" localSheetId="0" hidden="1">'Weekly Track'!$G$3:$V$28</definedName>
    <definedName name="Z_8C47ADE1_7CA3_4AB3_A749_547B18615B1D_.wvu.FilterData" localSheetId="0" hidden="1">'Weekly Track'!$A$3:$X$28</definedName>
    <definedName name="Z_8C651643_9E78_41F2_AF30_BD1024ADB479_.wvu.FilterData" localSheetId="0" hidden="1">'Weekly Track'!$G$3:$V$28</definedName>
    <definedName name="Z_8E799CBD_C384_4591_AAAA_7C97051C518B_.wvu.FilterData" localSheetId="0" hidden="1">'Weekly Track'!$D$3:$U$13</definedName>
    <definedName name="Z_8E81DB7D_5255_4329_86A9_BF2D25E22C07_.wvu.FilterData" localSheetId="0" hidden="1">'Weekly Track'!$G$3:$V$28</definedName>
    <definedName name="Z_8EE48057_80AB_4D49_9FEE_65CF78F2A246_.wvu.Cols" localSheetId="0" hidden="1">'Weekly Track'!#REF!</definedName>
    <definedName name="Z_8EE48057_80AB_4D49_9FEE_65CF78F2A246_.wvu.FilterData" localSheetId="0" hidden="1">'Weekly Track'!$G$3:$T$28</definedName>
    <definedName name="Z_9097B049_B8A1_47E8_B9D6_933A68E76A04_.wvu.FilterData" localSheetId="0" hidden="1">'Weekly Track'!$G$3:$V$28</definedName>
    <definedName name="Z_9099418D_E49E_4572_BCBA_F1DE53B5DFAB_.wvu.FilterData" localSheetId="0" hidden="1">'Weekly Track'!$D$3:$U$13</definedName>
    <definedName name="Z_90C6E1F8_625E_4B5A_AFC2_1DC93F92945E_.wvu.FilterData" localSheetId="0" hidden="1">'Weekly Track'!$G$3:$V$28</definedName>
    <definedName name="Z_922AB552_6261_4FA7_B869_997473E47F93_.wvu.FilterData" localSheetId="0" hidden="1">'Weekly Track'!$G$3:$V$28</definedName>
    <definedName name="Z_948BBEF2_7CA4_4FE3_8D7C_CD66507DC2A6_.wvu.FilterData" localSheetId="0" hidden="1">'Weekly Track'!$G$3:$V$28</definedName>
    <definedName name="Z_9880E37A_7D7F_41BF_A261_81D6A4E6F3DC_.wvu.FilterData" localSheetId="0" hidden="1">'Weekly Track'!$G$3:$V$28</definedName>
    <definedName name="Z_98CFB866_B433_4300_A81E_F82D1789396D_.wvu.FilterData" localSheetId="0" hidden="1">'Weekly Track'!$G$3:$V$28</definedName>
    <definedName name="Z_98F824F9_684A_4D23_A9AD_D2FE4037DB45_.wvu.FilterData" localSheetId="0" hidden="1">'Weekly Track'!$G$3:$V$28</definedName>
    <definedName name="Z_99666B57_35DB_4648_81B6_037A8D3A1A73_.wvu.FilterData" localSheetId="0" hidden="1">'Weekly Track'!$G$3:$V$28</definedName>
    <definedName name="Z_99E003D1_2858_414D_97CB_647C69C5219A_.wvu.FilterData" localSheetId="0" hidden="1">'Weekly Track'!$G$3:$V$28</definedName>
    <definedName name="Z_9A961F82_BA98_4BD1_A8A6_7B20E3B37A31_.wvu.FilterData" localSheetId="0" hidden="1">'Weekly Track'!$D$3:$U$13</definedName>
    <definedName name="Z_9AAEA13D_7403_4D31_B0AC_5F72ECD726A7_.wvu.FilterData" localSheetId="0" hidden="1">'Weekly Track'!$G$3:$V$28</definedName>
    <definedName name="Z_9B4C80D5_E114_4A0C_A60E_7AD5BDB25DAD_.wvu.FilterData" localSheetId="0" hidden="1">'Weekly Track'!$G$3:$V$28</definedName>
    <definedName name="Z_9B6049CB_74F7_4A4B_BDEE_129DA6BA93C7_.wvu.Cols" localSheetId="0" hidden="1">'Weekly Track'!$W:$W</definedName>
    <definedName name="Z_9B6049CB_74F7_4A4B_BDEE_129DA6BA93C7_.wvu.FilterData" localSheetId="0" hidden="1">'Weekly Track'!$G$3:$V$28</definedName>
    <definedName name="Z_9B985974_4396_454C_A12F_FF1554871ECC_.wvu.FilterData" localSheetId="0" hidden="1">'Weekly Track'!$G$3:$V$28</definedName>
    <definedName name="Z_9ED9FB8C_A729_41EA_935E_82445338FD31_.wvu.FilterData" localSheetId="0" hidden="1">'Weekly Track'!$G$3:$V$28</definedName>
    <definedName name="Z_9F3FCB48_CA56_4627_B71E_7DF27A1496A6_.wvu.FilterData" localSheetId="0" hidden="1">'Weekly Track'!$G$3:$V$28</definedName>
    <definedName name="Z_9F84B7D2_F3C8_4BAE_AE0E_88FEE694C1C7_.wvu.FilterData" localSheetId="0" hidden="1">'Weekly Track'!$G$3:$V$28</definedName>
    <definedName name="Z_9FB47601_740A_45F2_96E9_8207BD910FF6_.wvu.FilterData" localSheetId="0" hidden="1">'Weekly Track'!$G$3:$V$28</definedName>
    <definedName name="Z_A0179960_2037_454D_BA81_E315A8E16A3A_.wvu.FilterData" localSheetId="0" hidden="1">'Weekly Track'!$G$3:$V$28</definedName>
    <definedName name="Z_A0B8813F_FB85_4F55_970E_D7F10357FC7D_.wvu.FilterData" localSheetId="0" hidden="1">'Weekly Track'!$G$3:$V$28</definedName>
    <definedName name="Z_A2080E54_FD29_441F_9227_7BEE1E9BC4D3_.wvu.FilterData" localSheetId="0" hidden="1">'Weekly Track'!$A$3:$X$28</definedName>
    <definedName name="Z_A3F6280D_FBD4_4E9E_B2A1_D7CA8E964D5E_.wvu.FilterData" localSheetId="0" hidden="1">'Weekly Track'!$G$3:$V$28</definedName>
    <definedName name="Z_A521652D_57C6_4292_A79A_663908B7FF11_.wvu.FilterData" localSheetId="0" hidden="1">'Weekly Track'!$G$3:$V$28</definedName>
    <definedName name="Z_A61DB6F3_7F7E_4FA7_B5E5_92EFF79BD062_.wvu.FilterData" localSheetId="0" hidden="1">'Weekly Track'!$G$3:$V$28</definedName>
    <definedName name="Z_A81E9BDA_5224_46BD_A581_52BDFFC2E84A_.wvu.FilterData" localSheetId="0" hidden="1">'Weekly Track'!$G$3:$V$28</definedName>
    <definedName name="Z_AA922F2C_AFF4_4AF1_B7C8_5E01AD8754D3_.wvu.FilterData" localSheetId="0" hidden="1">'Weekly Track'!$G$3:$V$28</definedName>
    <definedName name="Z_AA95CC58_7156_4B7F_9252_D7F790CBF737_.wvu.FilterData" localSheetId="0" hidden="1">'Weekly Track'!$G$3:$V$28</definedName>
    <definedName name="Z_ABB931E3_94CD_4E27_B416_B409D8637F8B_.wvu.FilterData" localSheetId="0" hidden="1">'Weekly Track'!$A$3:$X$3</definedName>
    <definedName name="Z_ABF22925_73EE_4CC7_838C_F88559BC7297_.wvu.FilterData" localSheetId="0" hidden="1">'Weekly Track'!$A$3:$X$3</definedName>
    <definedName name="Z_AF5727B1_2266_4398_ADA1_1E0C5ED7DF74_.wvu.FilterData" localSheetId="0" hidden="1">'Weekly Track'!$D$3:$U$13</definedName>
    <definedName name="Z_B77A1629_4AEB_4937_9310_109A39C410C1_.wvu.FilterData" localSheetId="0" hidden="1">'Weekly Track'!$G$3:$V$28</definedName>
    <definedName name="Z_B7DB9A62_7DA6_4C3D_8531_2A7B06C7DD11_.wvu.FilterData" localSheetId="0" hidden="1">'Weekly Track'!$G$3:$V$28</definedName>
    <definedName name="Z_B88DF1D2_8735_4031_8120_F9860FFA0E9B_.wvu.FilterData" localSheetId="0" hidden="1">'Weekly Track'!$A$3:$X$3</definedName>
    <definedName name="Z_B8FB12DE_FAC7_4E7D_A4EE_9C02BFE537F5_.wvu.FilterData" localSheetId="0" hidden="1">'Weekly Track'!$G$3:$V$28</definedName>
    <definedName name="Z_B989351D_DCA1_4032_A2A6_AC256C05AEAF_.wvu.FilterData" localSheetId="0" hidden="1">'Weekly Track'!$G$3:$V$28</definedName>
    <definedName name="Z_B99D72B6_D62B_4086_BD8B_B2A86C5E312A_.wvu.FilterData" localSheetId="0" hidden="1">'Weekly Track'!$G$3:$V$28</definedName>
    <definedName name="Z_BA680C88_7FC3_49C3_AA14_74432754B497_.wvu.FilterData" localSheetId="0" hidden="1">'Weekly Track'!$G$3:$V$28</definedName>
    <definedName name="Z_BE1EB5BE_BF65_4209_889D_D3926960808F_.wvu.FilterData" localSheetId="0" hidden="1">'Weekly Track'!$G$3:$V$28</definedName>
    <definedName name="Z_BEFC3343_FB9A_4649_B915_C0482DDC238F_.wvu.FilterData" localSheetId="0" hidden="1">'Weekly Track'!$G$3:$V$28</definedName>
    <definedName name="Z_BF760E7C_5DEA_4966_A8B5_4F114907B053_.wvu.FilterData" localSheetId="0" hidden="1">'Weekly Track'!$D$3:$U$13</definedName>
    <definedName name="Z_C04FD524_FA0C_4C41_A249_FB149D6DB51F_.wvu.FilterData" localSheetId="0" hidden="1">'Weekly Track'!$D$3:$U$13</definedName>
    <definedName name="Z_C16D780F_3D28_4EAA_BC68_55D205FF9B92_.wvu.FilterData" localSheetId="0" hidden="1">'Weekly Track'!$D$3:$U$13</definedName>
    <definedName name="Z_C299741A_2767_4386_B3AB_D78380E83C22_.wvu.FilterData" localSheetId="0" hidden="1">'Weekly Track'!$G$3:$V$28</definedName>
    <definedName name="Z_C55B95B2_4161_4E6D_8703_1A83FF9F95D4_.wvu.FilterData" localSheetId="0" hidden="1">'Weekly Track'!$A$3:$X$28</definedName>
    <definedName name="Z_C5A9988D_1B2A_4000_96B6_74A42EEB5B4A_.wvu.FilterData" localSheetId="0" hidden="1">'Weekly Track'!$G$3:$V$28</definedName>
    <definedName name="Z_C8D2B860_A4BF_479A_918A_6691F37A8842_.wvu.FilterData" localSheetId="0" hidden="1">'Weekly Track'!$G$3:$V$28</definedName>
    <definedName name="Z_C9CAA6D6_DECB_45D4_A0D4_C6F3F9839A27_.wvu.FilterData" localSheetId="0" hidden="1">'Weekly Track'!$G$3:$T$28</definedName>
    <definedName name="Z_CBAA7D8B_D486_41DF_B6D0_D71293163E33_.wvu.FilterData" localSheetId="0" hidden="1">'Weekly Track'!$G$3:$V$28</definedName>
    <definedName name="Z_CC2FDD00_39B6_4F48_B29E_1D65B5F70B24_.wvu.FilterData" localSheetId="0" hidden="1">'Weekly Track'!$D$3:$U$13</definedName>
    <definedName name="Z_CCE3E0A0_186D_43C8_A372_8675AE0A31F9_.wvu.FilterData" localSheetId="0" hidden="1">'Weekly Track'!$G$3:$V$28</definedName>
    <definedName name="Z_CD5AC431_FCE1_464A_B43D_635D0D337D0E_.wvu.FilterData" localSheetId="0" hidden="1">'Weekly Track'!$A$3:$X$28</definedName>
    <definedName name="Z_CE9F12C2_A546_4090_8B7F_DDD8AB955155_.wvu.FilterData" localSheetId="0" hidden="1">'Weekly Track'!$G$3:$V$28</definedName>
    <definedName name="Z_CFB8BCB3_635A_4767_8A0A_B09C2AAFD02A_.wvu.FilterData" localSheetId="0" hidden="1">'Weekly Track'!$G$3:$V$28</definedName>
    <definedName name="Z_D23C8D4A_D742_4932_8338_357F5209676C_.wvu.FilterData" localSheetId="0" hidden="1">'Weekly Track'!$G$3:$V$28</definedName>
    <definedName name="Z_D3105A8A_F7D7_424A_986E_2376EC736EEA_.wvu.FilterData" localSheetId="0" hidden="1">'Weekly Track'!$G$3:$V$28</definedName>
    <definedName name="Z_D3263304_FC11_4DA1_B98A_ED59C4269186_.wvu.FilterData" localSheetId="0" hidden="1">'Weekly Track'!$G$3:$V$28</definedName>
    <definedName name="Z_D570678A_8A0A_41B9_A404_BD01C873A4B9_.wvu.FilterData" localSheetId="0" hidden="1">'Weekly Track'!$G$3:$V$28</definedName>
    <definedName name="Z_D62F9D95_A79A_418D_B136_91BB3E5617AC_.wvu.FilterData" localSheetId="0" hidden="1">'Weekly Track'!$G$3:$V$28</definedName>
    <definedName name="Z_D7251DD3_1204_43B7_B83A_C7383A205910_.wvu.FilterData" localSheetId="0" hidden="1">'Weekly Track'!$A$3:$X$3</definedName>
    <definedName name="Z_DCE9C236_9567_4ECA_96FC_D80F4DBD3B82_.wvu.FilterData" localSheetId="0" hidden="1">'Weekly Track'!$G$3:$V$28</definedName>
    <definedName name="Z_DD3B93AE_D50C_4177_8673_6846A12A042B_.wvu.FilterData" localSheetId="0" hidden="1">'Weekly Track'!$G$3:$V$28</definedName>
    <definedName name="Z_DEE575E8_89F5_4E5D_B9C1_E62677C6105A_.wvu.FilterData" localSheetId="0" hidden="1">'Weekly Track'!$G$3:$V$28</definedName>
    <definedName name="Z_DFA7576E_9AE4_4510_A498_04C301206E9B_.wvu.FilterData" localSheetId="0" hidden="1">'Weekly Track'!$G$3:$V$28</definedName>
    <definedName name="Z_E0140599_DC56_446E_B83D_D29EB47F3438_.wvu.FilterData" localSheetId="0" hidden="1">'Weekly Track'!$G$3:$V$28</definedName>
    <definedName name="Z_E14BBACC_D68F_41DD_9C86_B0D798A5B788_.wvu.FilterData" localSheetId="0" hidden="1">'Weekly Track'!$G$3:$V$28</definedName>
    <definedName name="Z_E1E1141E_F8F1_48C6_AEAE_0C5819137E91_.wvu.FilterData" localSheetId="0" hidden="1">'Weekly Track'!$G$3:$V$28</definedName>
    <definedName name="Z_E2A5ADFB_2A67_4C55_BE85_DEF3AE67B4D4_.wvu.FilterData" localSheetId="0" hidden="1">'Weekly Track'!$G$3:$V$28</definedName>
    <definedName name="Z_E3A67C25_DA9F_4098_8BCB_EDBB79C75A9B_.wvu.FilterData" localSheetId="0" hidden="1">'Weekly Track'!$G$3:$V$28</definedName>
    <definedName name="Z_E3BE9722_2755_4C3F_BEA4_567B30F97E3B_.wvu.FilterData" localSheetId="0" hidden="1">'Weekly Track'!$G$3:$V$28</definedName>
    <definedName name="Z_E4EC53AA_61BA_4687_AD44_28BA0F4829AF_.wvu.FilterData" localSheetId="0" hidden="1">'Weekly Track'!$G$3:$V$28</definedName>
    <definedName name="Z_E58C8167_852E_40E7_A5BE_A4F33595E492_.wvu.FilterData" localSheetId="0" hidden="1">'Weekly Track'!$G$3:$V$28</definedName>
    <definedName name="Z_E5AE4E74_16AA_46B4_8FA4_200E998654ED_.wvu.FilterData" localSheetId="0" hidden="1">'Weekly Track'!$G$3:$V$28</definedName>
    <definedName name="Z_E9A97B28_AADA_4EA6_B2EF_1133E2C7DED5_.wvu.FilterData" localSheetId="0" hidden="1">'Weekly Track'!$G$3:$V$28</definedName>
    <definedName name="Z_EA85C444_0B77_42A7_A627_8DFAEB030A0C_.wvu.FilterData" localSheetId="0" hidden="1">'Weekly Track'!$D$3:$U$13</definedName>
    <definedName name="Z_EF4C86B4_137F_4865_AAA8_DFA18E73126C_.wvu.FilterData" localSheetId="0" hidden="1">'Weekly Track'!$D$3:$U$13</definedName>
    <definedName name="Z_F191C95B_190E_42AA_85F5_571813CB1E57_.wvu.FilterData" localSheetId="0" hidden="1">'Weekly Track'!$G$3:$V$28</definedName>
    <definedName name="Z_F240F89F_EDAA_4096_A093_B97DCA0EC784_.wvu.FilterData" localSheetId="0" hidden="1">'Weekly Track'!$G$3:$V$28</definedName>
    <definedName name="Z_F474B10A_E437_4056_988C_17E3A2F4C34E_.wvu.FilterData" localSheetId="0" hidden="1">'Weekly Track'!$G$3:$V$28</definedName>
    <definedName name="Z_F523E01C_26BE_4313_8790_D25220E2323B_.wvu.FilterData" localSheetId="0" hidden="1">'Weekly Track'!$G$3:$V$28</definedName>
    <definedName name="Z_F6F66EEC_A413_4882_BD9A_8950213B9A71_.wvu.FilterData" localSheetId="0" hidden="1">'Weekly Track'!$G$3:$T$28</definedName>
    <definedName name="Z_F9F50B6F_B9E3_4673_B42C_92343725FF07_.wvu.FilterData" localSheetId="0" hidden="1">'Weekly Track'!$A$3:$X$3</definedName>
    <definedName name="Z_FA16BC52_B899_4A28_90BD_961AD0347982_.wvu.FilterData" localSheetId="0" hidden="1">'Weekly Track'!$G$3:$V$28</definedName>
    <definedName name="Z_FA727615_5A6E_4085_9F0A_F145AC60C7F0_.wvu.FilterData" localSheetId="0" hidden="1">'Weekly Track'!$G$3:$V$28</definedName>
    <definedName name="Z_FA7606F9_EC11_473C_90D8_4619951DECAE_.wvu.FilterData" localSheetId="0" hidden="1">'Weekly Track'!$G$3:$V$28</definedName>
    <definedName name="Z_FB1006D6_6890_4F3F_A4DB_DBA007A47960_.wvu.FilterData" localSheetId="0" hidden="1">'Weekly Track'!$G$3:$V$28</definedName>
    <definedName name="Z_FF0FC2F5_0B05_45FE_BDCA_8E26A803F0BF_.wvu.FilterData" localSheetId="0" hidden="1">'Weekly Track'!$G$3:$V$28</definedName>
    <definedName name="Z_FF2A5ECB_AB5F_4A91_97DA_132021D9C61D_.wvu.FilterData" localSheetId="0" hidden="1">'Weekly Track'!$G$3:$V$28</definedName>
  </definedNames>
  <calcPr calcId="145621"/>
  <customWorkbookViews>
    <customWorkbookView name="Du Nguyen - Personal View" guid="{6ABFDB73-A4FC-493C-A504-1276E731333B}" mergeInterval="0" personalView="1" maximized="1" windowWidth="1916" windowHeight="855" activeSheetId="2"/>
    <customWorkbookView name="vinhpq - Personal View" guid="{9099418D-E49E-4572-BCBA-F1DE53B5DFAB}" mergeInterval="0" personalView="1" maximized="1" xWindow="1" yWindow="1" windowWidth="1916" windowHeight="941" activeSheetId="2"/>
    <customWorkbookView name="yensv - Personal View" guid="{3D68303D-5E50-44AA-9745-976E940C48C6}" mergeInterval="0" personalView="1" windowWidth="1916" windowHeight="909" activeSheetId="2"/>
    <customWorkbookView name="Tuan Nguyen Quoc - Personal View" guid="{7E427091-283A-453B-94EB-2B448709C24B}" mergeInterval="0" personalView="1" maximized="1" windowWidth="1858" windowHeight="894" activeSheetId="2"/>
    <customWorkbookView name="Sang Nguyen Hong Hoan - Personal View" guid="{CBAA7D8B-D486-41DF-B6D0-D71293163E33}" mergeInterval="0" personalView="1" maximized="1" windowWidth="1613" windowHeight="749" activeSheetId="4"/>
    <customWorkbookView name="Thanh Vu Van - Personal View" guid="{52646C22-009A-42DB-9645-9B1CCBC06272}" mergeInterval="0" personalView="1" maximized="1" windowWidth="1858" windowHeight="860" activeSheetId="4"/>
    <customWorkbookView name="Tuan Nguyen - Personal View" guid="{A0179960-2037-454D-BA81-E315A8E16A3A}" mergeInterval="0" personalView="1" maximized="1" xWindow="-8" yWindow="-8" windowWidth="1874" windowHeight="1096" activeSheetId="2"/>
    <customWorkbookView name="GiangNT - Personal View" guid="{BA680C88-7FC3-49C3-AA14-74432754B497}" mergeInterval="0" personalView="1" maximized="1" windowWidth="1916" windowHeight="831" activeSheetId="4"/>
    <customWorkbookView name="phuongnt - Personal View" guid="{9B6049CB-74F7-4A4B-BDEE-129DA6BA93C7}" mergeInterval="0" personalView="1" maximized="1" windowWidth="1916" windowHeight="855" activeSheetId="2"/>
    <customWorkbookView name="DuND - Personal View" guid="{8EE48057-80AB-4D49-9FEE-65CF78F2A246}" mergeInterval="0" personalView="1" maximized="1" windowWidth="1362" windowHeight="611" activeSheetId="2"/>
    <customWorkbookView name="vie30728/Giao Tran - Personal View" guid="{66AA5AAA-E54D-4A50-AB0E-D892E8DA9C76}" mergeInterval="0" personalView="1" maximized="1" xWindow="1" yWindow="1" windowWidth="1366" windowHeight="538" activeSheetId="1"/>
    <customWorkbookView name="vie32477 - Personal View" guid="{73565361-97F7-42F4-837A-37945610F80B}" mergeInterval="0" personalView="1" maximized="1" xWindow="1" yWindow="1" windowWidth="1366" windowHeight="548" activeSheetId="1"/>
    <customWorkbookView name="vie31424 - Personal View" guid="{0A8A44BC-FA6E-44CD-94F6-F4BD52D3D8DF}" mergeInterval="0" personalView="1" maximized="1" xWindow="1" yWindow="1" windowWidth="1366" windowHeight="534" activeSheetId="1"/>
    <customWorkbookView name="vie25735 - Personal View" guid="{B88DF1D2-8735-4031-8120-F9860FFA0E9B}" mergeInterval="0" personalView="1" maximized="1" xWindow="1" yWindow="1" windowWidth="1366" windowHeight="513" activeSheetId="1"/>
    <customWorkbookView name="Le Khang\VIE25738 - Personal View (2)" guid="{ABB931E3-94CD-4E27-B416-B409D8637F8B}" mergeInterval="0" personalView="1" maximized="1" xWindow="1" yWindow="1" windowWidth="1283" windowHeight="576" activeSheetId="1" showComments="commIndAndComment"/>
    <customWorkbookView name="Le Khang\VIE25738 - Personal View" guid="{4FDA3C8C-2A48-416C-AA66-16E8E291C87E}" mergeInterval="0" personalView="1" maximized="1" xWindow="1" yWindow="1" windowWidth="1366" windowHeight="543" activeSheetId="1"/>
    <customWorkbookView name="Phuc Dam - Personal View" guid="{853418B4-E9D6-4704-AD48-F14C569ECDEF}" mergeInterval="0" personalView="1" maximized="1" xWindow="1" yWindow="1" windowWidth="1362" windowHeight="517" activeSheetId="1"/>
    <customWorkbookView name="vie25491 - Personal View" guid="{6765FBE4-42BF-4A6A-9B53-DC4D86B53E33}" mergeInterval="0" personalView="1" maximized="1" xWindow="1" yWindow="1" windowWidth="1362" windowHeight="547" activeSheetId="1"/>
    <customWorkbookView name="Sinh Nguyen\VIE25738 - Personal View" guid="{521319B0-70C9-478D-B877-6AE94F61BBA5}" mergeInterval="0" personalView="1" maximized="1" xWindow="1" yWindow="1" windowWidth="1269" windowHeight="576" activeSheetId="1"/>
    <customWorkbookView name="vie26052 - Personal View" guid="{221227E4-5837-4474-928D-3B123C1FAB43}" mergeInterval="0" personalView="1" maximized="1" xWindow="1" yWindow="1" windowWidth="1366" windowHeight="517" activeSheetId="1"/>
    <customWorkbookView name="Minh Mai - Personal View" guid="{D7251DD3-1204-43B7-B83A-C7383A205910}" mergeInterval="0" personalView="1" maximized="1" xWindow="1" yWindow="1" windowWidth="1284" windowHeight="576" activeSheetId="1"/>
    <customWorkbookView name="vie25957 - Personal View" guid="{4CCB49BD-BD3B-4580-ADD4-F4962C4F359E}" mergeInterval="0" personalView="1" maximized="1" xWindow="1" yWindow="1" windowWidth="1366" windowHeight="537" activeSheetId="1"/>
    <customWorkbookView name="Phuong Vo - Personal View" guid="{F9F50B6F-B9E3-4673-B42C-92343725FF07}" mergeInterval="0" personalView="1" maximized="1" xWindow="1" yWindow="1" windowWidth="1287" windowHeight="461" activeSheetId="1"/>
    <customWorkbookView name="Nguy Trung Tai - Personal View" guid="{A521652D-57C6-4292-A79A-663908B7FF11}" mergeInterval="0" personalView="1" maximized="1" windowWidth="1916" windowHeight="835" activeSheetId="2"/>
    <customWorkbookView name="Thang Truong Quang - Personal View" guid="{44117B2C-C61F-437C-A9C5-65A80C2AE348}" mergeInterval="0" personalView="1" maximized="1" windowWidth="1916" windowHeight="951" activeSheetId="2"/>
    <customWorkbookView name="Quy Nguyen Duc - Personal View" guid="{7AC9EE31-E3C8-43A5-8490-C2342F28991D}" mergeInterval="0" personalView="1" maximized="1" windowWidth="1916" windowHeight="855" activeSheetId="4"/>
    <customWorkbookView name="Sakakibara - Personal View" guid="{051D1CA9-AD3E-4268-8658-F8950473509F}" mergeInterval="0" personalView="1" maximized="1" windowWidth="1916" windowHeight="865" activeSheetId="2"/>
    <customWorkbookView name="User - Personal View" guid="{8C47ADE1-7CA3-4AB3-A749-547B18615B1D}" mergeInterval="0" personalView="1" maximized="1" windowWidth="1858" windowHeight="893" activeSheetId="2"/>
    <customWorkbookView name="Le Thi Yen Moc - Personal View" guid="{C55B95B2-4161-4E6D-8703-1A83FF9F95D4}" mergeInterval="0" personalView="1" maximized="1" windowWidth="1675" windowHeight="855" activeSheetId="2"/>
    <customWorkbookView name="moclty - Personal View" guid="{63BBB3C8-2BBD-47A9-8577-895E120CF491}" mergeInterval="0" personalView="1" maximized="1" windowWidth="1850" windowHeight="894" activeSheetId="4"/>
    <customWorkbookView name="w-ndnv-01 - Personal View" guid="{5DC62200-E966-42EC-876C-0B719896BF62}" mergeInterval="0" personalView="1" maximized="1" windowWidth="1920" windowHeight="854" activeSheetId="2"/>
    <customWorkbookView name="ThinhNH - Personal View" guid="{28579E25-F775-48E1-98C2-206BE5E524FE}" mergeInterval="0" personalView="1" maximized="1" windowWidth="1916" windowHeight="855" activeSheetId="2"/>
    <customWorkbookView name="Vinh Thuan Tran - Personal View" guid="{496B1B49-F920-48C1-B26E-9A1F4E6E5157}" mergeInterval="0" personalView="1" maximized="1" windowWidth="1916" windowHeight="855" activeSheetId="2"/>
    <customWorkbookView name="Van Thong Chau - Personal View" guid="{C04FD524-FA0C-4C41-A249-FB149D6DB51F}" mergeInterval="0" personalView="1" maximized="1" windowWidth="1902" windowHeight="843" activeSheetId="2"/>
    <customWorkbookView name="Thinh Nguyen Hoang - Personal View" guid="{EF4C86B4-137F-4865-AAA8-DFA18E73126C}" mergeInterval="0" personalView="1" maximized="1" xWindow="-8" yWindow="-8" windowWidth="1936" windowHeight="1056" activeSheetId="2"/>
  </customWorkbookViews>
</workbook>
</file>

<file path=xl/calcChain.xml><?xml version="1.0" encoding="utf-8"?>
<calcChain xmlns="http://schemas.openxmlformats.org/spreadsheetml/2006/main">
  <c r="J35" i="2" l="1"/>
  <c r="J33" i="2"/>
  <c r="J31" i="2"/>
  <c r="J30" i="2"/>
  <c r="J29" i="2"/>
  <c r="J26" i="2"/>
  <c r="J24" i="2"/>
  <c r="J22" i="2"/>
  <c r="J21" i="2"/>
  <c r="J18" i="2"/>
  <c r="J16" i="2"/>
  <c r="J15" i="2"/>
  <c r="J12" i="2"/>
  <c r="J10" i="2"/>
  <c r="J9" i="2"/>
  <c r="J7" i="2"/>
  <c r="J6" i="2"/>
  <c r="D3" i="4" l="1"/>
  <c r="C3" i="4"/>
  <c r="D2" i="4"/>
  <c r="C2" i="4"/>
</calcChain>
</file>

<file path=xl/sharedStrings.xml><?xml version="1.0" encoding="utf-8"?>
<sst xmlns="http://schemas.openxmlformats.org/spreadsheetml/2006/main" count="148" uniqueCount="105">
  <si>
    <t>Name</t>
  </si>
  <si>
    <t>Date</t>
  </si>
  <si>
    <t>Non-Working Days</t>
  </si>
  <si>
    <t>Status</t>
  </si>
  <si>
    <t>#</t>
  </si>
  <si>
    <t>Plan</t>
  </si>
  <si>
    <t>Actual</t>
  </si>
  <si>
    <t>Duration</t>
  </si>
  <si>
    <t>No</t>
  </si>
  <si>
    <t>Tasks</t>
  </si>
  <si>
    <t>Remark</t>
  </si>
  <si>
    <t>%</t>
  </si>
  <si>
    <t>Start</t>
  </si>
  <si>
    <t>End</t>
  </si>
  <si>
    <t xml:space="preserve">Start </t>
  </si>
  <si>
    <t xml:space="preserve">End </t>
  </si>
  <si>
    <t>Task Name</t>
  </si>
  <si>
    <t>Input</t>
  </si>
  <si>
    <t>Output</t>
  </si>
  <si>
    <t>PIC1</t>
  </si>
  <si>
    <t>PIC2</t>
  </si>
  <si>
    <t>Duration
(MD)</t>
  </si>
  <si>
    <t>ThiDTK</t>
  </si>
  <si>
    <t>1.1.1</t>
  </si>
  <si>
    <t>1.1.2</t>
  </si>
  <si>
    <t>FID/SID</t>
  </si>
  <si>
    <t>1.2.1</t>
  </si>
  <si>
    <t>1.2.2</t>
  </si>
  <si>
    <t>GIT HUB</t>
  </si>
  <si>
    <t>Document</t>
  </si>
  <si>
    <t>Exercise</t>
  </si>
  <si>
    <t>HTML</t>
  </si>
  <si>
    <t>CSS</t>
  </si>
  <si>
    <t>REACT</t>
  </si>
  <si>
    <t>Outline</t>
  </si>
  <si>
    <t>- Basic: push, commit, merge etc.
- Advanced commands: cherry-pick, reset etc.
- gitflow
- github-flow</t>
  </si>
  <si>
    <t>Basic</t>
  </si>
  <si>
    <t>https://www.hostinger.vn/huong-dan/github-la-gi/</t>
  </si>
  <si>
    <t>https://thachpham.com/tools/git-git-va-github-la-gi-tai-sao-nen-dung.html</t>
  </si>
  <si>
    <t>Advanced</t>
  </si>
  <si>
    <t>https://github.com/K59N/Git-basic</t>
  </si>
  <si>
    <t>New(Add), Push, Commit, Merge, ..</t>
  </si>
  <si>
    <t>Advanced commands: cherry-pick, reset, ...</t>
  </si>
  <si>
    <t>Gitflow, github-flow</t>
  </si>
  <si>
    <t>1.3.1</t>
  </si>
  <si>
    <t>Install Git, Check out, New(Add), Push, Commit, Merge, ..</t>
  </si>
  <si>
    <t>- semantic coding of HTML5
- css architecture
- component definition for large project
- layout / component</t>
  </si>
  <si>
    <t>https://thachpham.com/series/html-co-ban</t>
  </si>
  <si>
    <t>https://hoclaptrinhweb.org/lap-trinh/hoc-html/216-bai-2-cac-the-html-co-ban.html</t>
  </si>
  <si>
    <t>http://webcoban.vn/html/tai-lieu-hoc-html</t>
  </si>
  <si>
    <t>What is  HTML, structure, tags, paragraph, heading, text, element, ...</t>
  </si>
  <si>
    <t>Comment, link, bookmark, attribute, style, id, class,...</t>
  </si>
  <si>
    <t>List, Table, image, image map, audio, iframe, plugin, ...</t>
  </si>
  <si>
    <t>- Create new folder/file and exercise on it</t>
  </si>
  <si>
    <t>- animation
- transition
- can create beautiful &amp; appropriate animation</t>
  </si>
  <si>
    <t>Padding, Margin, List, table, link, ...</t>
  </si>
  <si>
    <t>What is CSS, tag, text, format, font, size, color, border, ...</t>
  </si>
  <si>
    <t>Opacity, Overflow, animation, transition,...</t>
  </si>
  <si>
    <t>http://webcoban.vn/css/tai-lieu-hoc-css</t>
  </si>
  <si>
    <t>https://hocwebchuan.com/tutorial/reactjs/</t>
  </si>
  <si>
    <t>State, component set state, lifecycle,...</t>
  </si>
  <si>
    <t>What is React, JSX, component, props, data, ...</t>
  </si>
  <si>
    <t xml:space="preserve"> Authentication &amp; token handling, presisting state (e.g. cookie, local storage), error handling, ...</t>
  </si>
  <si>
    <t>Button, event, link, form, render, array, map, ...</t>
  </si>
  <si>
    <t>can make entire application with enough calability maintainability
- has network connection
- authentication &amp; token handling
- state management of entire application and each components 
- presisting state (e.g. cookie, local storage)
- error handling</t>
  </si>
  <si>
    <t>- Create new project html (refer to sheet React ex)</t>
  </si>
  <si>
    <t>Create new project html (refer to sheet React ex)</t>
  </si>
  <si>
    <t>sheet React ex</t>
  </si>
  <si>
    <t>https://v1study.com/git-quy-trinh-cong-viec-gitflow.html</t>
  </si>
  <si>
    <t>https://reactjs.org/tutorial/tutorial.html</t>
  </si>
  <si>
    <t>https://medium.com/@jinalshah999/reactjs-step-by-step-tutorial-series-for-absolute-beginners-part-1-9f727d72d93</t>
  </si>
  <si>
    <t>https://www.w3schools.com/html/default.asp</t>
  </si>
  <si>
    <t>https://www.w3schools.com/css/default.asp</t>
  </si>
  <si>
    <t>https://www.w3schools.com/react/default.asp</t>
  </si>
  <si>
    <t>https://www.w3schools.com/html/html_exercises.asp</t>
  </si>
  <si>
    <t>- Create new project html (refer to sheet HTML.CSS ex)</t>
  </si>
  <si>
    <t>Create new project html (refer to sheet HTML.CSS ex)</t>
  </si>
  <si>
    <t>sheet HTML.CSS ex</t>
  </si>
  <si>
    <t>https://guides.github.com/activities/hello-world/</t>
  </si>
  <si>
    <t>Github: https://github.com/join/get-started
username: ThiDang-git
pasword: git-DangThi@123</t>
  </si>
  <si>
    <t>ToanNT</t>
  </si>
  <si>
    <t>Git</t>
  </si>
  <si>
    <t>Q&amp;A</t>
  </si>
  <si>
    <t>1. Trên Git server co file readme.md. Sửa đuôi file md thành txt</t>
  </si>
  <si>
    <t>Bằng cách nào sửa đuôi file trên git ???</t>
  </si>
  <si>
    <t>3. Không thể push lên git từ Visual Studio Code</t>
  </si>
  <si>
    <t>4. Làm sao để merge</t>
  </si>
  <si>
    <t>5. Có thể đẩy file trong folder lên Git không?</t>
  </si>
  <si>
    <t>6. Chỗ chọn  1: powershell - 2: git là sao?</t>
  </si>
  <si>
    <t>2. Có cách nào link/compare source code ở local với source trên server của Git (Xem sự khác nhau giữa source local và git server)</t>
  </si>
  <si>
    <t>7. Có thể thấy được có 2 file thay đổi, nhưng làm sao biết được là 2 file nào?</t>
  </si>
  <si>
    <t>Ans: Như SVN, nó sẽ hiểu như 1 file mới, bị thiếu file cũ .md</t>
  </si>
  <si>
    <t>Chỉ nhìn thấy được sự thay đổi với file nào đó. Không thấy được sự thay đổi của local và trên github</t>
  </si>
  <si>
    <t>(tương tự câu 7)</t>
  </si>
  <si>
    <t>Ans: Đã giải quyết. Nên dùng lệnh: git push . Nhập pass --&gt; sử dụng chrome để đồng ý quyền truy cập</t>
  </si>
  <si>
    <t>8. Làm sao để convert file</t>
  </si>
  <si>
    <t>Install Git, Check out
*** Recommend: Git + Visual Studio Code</t>
  </si>
  <si>
    <t>9. git stash : The problem is, you don’t want to do a commit of half-done work just so you can get back to this point later. The answer to this issue is the git stash command.</t>
  </si>
  <si>
    <t>https://git-scm.com/book/en/v2/Git-Tools-Stashing-and-Cleaning</t>
  </si>
  <si>
    <t>Sau khi stash không còn thấy chỗ thay đổi trong file?? Mục đích stash là sao?</t>
  </si>
  <si>
    <t>https://git-scm.com/docs/git-cherry-pick</t>
  </si>
  <si>
    <t>Finished</t>
  </si>
  <si>
    <t>https://kipalog.com/posts/Su-dung-git-stash-hieu-qua</t>
  </si>
  <si>
    <t>--&gt; git stash list -- xem các version đã thay đổi</t>
  </si>
  <si>
    <t>--&gt; git stash list -p  -- xem cả nội dung các version đã thay đổi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</si>
</sst>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\-mmm;@"/>
    <numFmt numFmtId="165" formatCode="[$-409]d\-mmm\-yy;@"/>
    <numFmt numFmtId="166" formatCode="0.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6"/>
      <name val="Calibri"/>
      <family val="3"/>
      <charset val="128"/>
      <scheme val="minor"/>
    </font>
    <font>
      <sz val="8"/>
      <color theme="1" tint="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1499984740745262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8"/>
      <color theme="9" tint="-0.249977111117893"/>
      <name val="Calibri"/>
      <family val="2"/>
      <scheme val="minor"/>
    </font>
    <font>
      <b/>
      <sz val="8"/>
      <color rgb="FF00B050"/>
      <name val="Calibri"/>
      <family val="2"/>
      <scheme val="minor"/>
    </font>
    <font>
      <b/>
      <sz val="8"/>
      <color theme="1" tint="0.14999847407452621"/>
      <name val="Calibri"/>
      <family val="2"/>
      <scheme val="minor"/>
    </font>
    <font>
      <sz val="9"/>
      <name val="ＭＳ Ｐゴシック"/>
      <family val="3"/>
      <charset val="128"/>
    </font>
    <font>
      <sz val="8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7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theme="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5FFD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</borders>
  <cellStyleXfs count="7">
    <xf numFmtId="0" fontId="0" fillId="0" borderId="0"/>
    <xf numFmtId="0" fontId="3" fillId="0" borderId="0"/>
    <xf numFmtId="0" fontId="3" fillId="0" borderId="0"/>
    <xf numFmtId="0" fontId="3" fillId="0" borderId="0">
      <alignment vertical="center"/>
    </xf>
    <xf numFmtId="0" fontId="2" fillId="0" borderId="0"/>
    <xf numFmtId="0" fontId="18" fillId="0" borderId="0"/>
    <xf numFmtId="0" fontId="1" fillId="0" borderId="0"/>
  </cellStyleXfs>
  <cellXfs count="99">
    <xf numFmtId="0" fontId="0" fillId="0" borderId="0" xfId="0"/>
    <xf numFmtId="0" fontId="0" fillId="0" borderId="1" xfId="0" applyBorder="1"/>
    <xf numFmtId="0" fontId="4" fillId="2" borderId="1" xfId="1" applyFont="1" applyFill="1" applyBorder="1" applyAlignment="1">
      <alignment horizontal="center" wrapText="1"/>
    </xf>
    <xf numFmtId="165" fontId="3" fillId="0" borderId="1" xfId="1" applyNumberFormat="1" applyBorder="1"/>
    <xf numFmtId="0" fontId="3" fillId="0" borderId="1" xfId="1" applyBorder="1"/>
    <xf numFmtId="0" fontId="3" fillId="0" borderId="1" xfId="1" applyFill="1" applyBorder="1"/>
    <xf numFmtId="0" fontId="0" fillId="0" borderId="1" xfId="1" applyFont="1" applyFill="1" applyBorder="1"/>
    <xf numFmtId="0" fontId="5" fillId="0" borderId="0" xfId="0" applyFont="1" applyFill="1" applyBorder="1" applyAlignment="1" applyProtection="1">
      <alignment vertical="center"/>
    </xf>
    <xf numFmtId="0" fontId="6" fillId="3" borderId="0" xfId="0" applyNumberFormat="1" applyFont="1" applyFill="1" applyAlignment="1" applyProtection="1">
      <alignment horizontal="left" vertical="center"/>
    </xf>
    <xf numFmtId="0" fontId="0" fillId="0" borderId="0" xfId="0" applyFont="1" applyFill="1" applyAlignment="1" applyProtection="1">
      <alignment vertical="center"/>
    </xf>
    <xf numFmtId="0" fontId="0" fillId="3" borderId="0" xfId="0" applyFont="1" applyFill="1" applyAlignment="1" applyProtection="1">
      <alignment vertical="center"/>
    </xf>
    <xf numFmtId="0" fontId="0" fillId="3" borderId="0" xfId="0" applyFont="1" applyFill="1" applyAlignment="1" applyProtection="1">
      <alignment vertical="center"/>
      <protection locked="0"/>
    </xf>
    <xf numFmtId="0" fontId="0" fillId="4" borderId="0" xfId="0" applyFont="1" applyFill="1" applyAlignment="1" applyProtection="1">
      <alignment vertical="center"/>
    </xf>
    <xf numFmtId="0" fontId="0" fillId="4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center" vertical="center"/>
    </xf>
    <xf numFmtId="9" fontId="0" fillId="3" borderId="0" xfId="0" applyNumberFormat="1" applyFont="1" applyFill="1" applyAlignment="1" applyProtection="1">
      <alignment vertical="center"/>
      <protection locked="0"/>
    </xf>
    <xf numFmtId="0" fontId="0" fillId="3" borderId="0" xfId="0" applyNumberFormat="1" applyFont="1" applyFill="1" applyAlignment="1" applyProtection="1">
      <alignment vertical="center"/>
      <protection locked="0"/>
    </xf>
    <xf numFmtId="9" fontId="0" fillId="4" borderId="0" xfId="0" applyNumberFormat="1" applyFont="1" applyFill="1" applyAlignment="1" applyProtection="1">
      <alignment vertical="center"/>
      <protection locked="0"/>
    </xf>
    <xf numFmtId="1" fontId="0" fillId="3" borderId="0" xfId="0" applyNumberFormat="1" applyFont="1" applyFill="1" applyAlignment="1" applyProtection="1">
      <alignment vertical="center"/>
    </xf>
    <xf numFmtId="1" fontId="0" fillId="4" borderId="0" xfId="0" applyNumberFormat="1" applyFont="1" applyFill="1" applyAlignment="1" applyProtection="1">
      <alignment vertical="center"/>
    </xf>
    <xf numFmtId="0" fontId="0" fillId="4" borderId="0" xfId="0" applyNumberFormat="1" applyFont="1" applyFill="1" applyAlignment="1" applyProtection="1">
      <alignment vertical="center"/>
      <protection locked="0"/>
    </xf>
    <xf numFmtId="0" fontId="0" fillId="4" borderId="0" xfId="0" applyFont="1" applyFill="1" applyAlignment="1" applyProtection="1">
      <alignment vertical="center"/>
      <protection locked="0"/>
    </xf>
    <xf numFmtId="0" fontId="0" fillId="3" borderId="0" xfId="0" applyFont="1" applyFill="1" applyBorder="1" applyAlignment="1" applyProtection="1">
      <alignment vertical="center"/>
    </xf>
    <xf numFmtId="0" fontId="0" fillId="3" borderId="0" xfId="0" applyNumberFormat="1" applyFont="1" applyFill="1" applyAlignment="1" applyProtection="1">
      <alignment horizontal="left" vertical="center"/>
    </xf>
    <xf numFmtId="0" fontId="8" fillId="3" borderId="0" xfId="0" applyFont="1" applyFill="1" applyAlignment="1" applyProtection="1">
      <alignment vertical="center"/>
    </xf>
    <xf numFmtId="0" fontId="0" fillId="0" borderId="1" xfId="1" applyFont="1" applyBorder="1"/>
    <xf numFmtId="0" fontId="7" fillId="7" borderId="3" xfId="0" applyFont="1" applyFill="1" applyBorder="1" applyAlignment="1" applyProtection="1">
      <alignment horizontal="center" vertical="center" wrapText="1"/>
    </xf>
    <xf numFmtId="0" fontId="7" fillId="7" borderId="4" xfId="0" applyFont="1" applyFill="1" applyBorder="1" applyAlignment="1" applyProtection="1">
      <alignment horizontal="center" vertical="center" wrapText="1"/>
    </xf>
    <xf numFmtId="0" fontId="7" fillId="8" borderId="3" xfId="0" applyFont="1" applyFill="1" applyBorder="1" applyAlignment="1" applyProtection="1">
      <alignment horizontal="center" vertical="center" wrapText="1"/>
    </xf>
    <xf numFmtId="0" fontId="16" fillId="5" borderId="4" xfId="0" applyFont="1" applyFill="1" applyBorder="1" applyAlignment="1" applyProtection="1">
      <alignment horizontal="left" vertical="top"/>
    </xf>
    <xf numFmtId="0" fontId="13" fillId="5" borderId="5" xfId="0" applyFont="1" applyFill="1" applyBorder="1" applyAlignment="1" applyProtection="1">
      <alignment horizontal="left" vertical="top" wrapText="1"/>
    </xf>
    <xf numFmtId="0" fontId="15" fillId="5" borderId="5" xfId="0" applyFont="1" applyFill="1" applyBorder="1" applyAlignment="1" applyProtection="1">
      <alignment vertical="top" wrapText="1"/>
    </xf>
    <xf numFmtId="0" fontId="13" fillId="5" borderId="5" xfId="0" applyFont="1" applyFill="1" applyBorder="1" applyAlignment="1" applyProtection="1">
      <alignment vertical="top" wrapText="1"/>
    </xf>
    <xf numFmtId="164" fontId="11" fillId="6" borderId="5" xfId="0" applyNumberFormat="1" applyFont="1" applyFill="1" applyBorder="1" applyAlignment="1" applyProtection="1">
      <alignment vertical="top" wrapText="1"/>
    </xf>
    <xf numFmtId="164" fontId="11" fillId="5" borderId="5" xfId="0" applyNumberFormat="1" applyFont="1" applyFill="1" applyBorder="1" applyAlignment="1" applyProtection="1">
      <alignment vertical="top" wrapText="1"/>
    </xf>
    <xf numFmtId="0" fontId="11" fillId="6" borderId="5" xfId="0" applyNumberFormat="1" applyFont="1" applyFill="1" applyBorder="1" applyAlignment="1" applyProtection="1">
      <alignment horizontal="center" vertical="top" wrapText="1"/>
    </xf>
    <xf numFmtId="164" fontId="9" fillId="5" borderId="5" xfId="0" applyNumberFormat="1" applyFont="1" applyFill="1" applyBorder="1" applyAlignment="1" applyProtection="1">
      <alignment vertical="top" wrapText="1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165" fontId="9" fillId="5" borderId="5" xfId="0" applyNumberFormat="1" applyFont="1" applyFill="1" applyBorder="1" applyAlignment="1" applyProtection="1">
      <alignment horizontal="center" vertical="top" wrapText="1"/>
      <protection locked="0"/>
    </xf>
    <xf numFmtId="9" fontId="9" fillId="5" borderId="5" xfId="0" applyNumberFormat="1" applyFont="1" applyFill="1" applyBorder="1" applyAlignment="1" applyProtection="1">
      <alignment horizontal="left" vertical="top" wrapText="1"/>
      <protection locked="0"/>
    </xf>
    <xf numFmtId="166" fontId="9" fillId="5" borderId="5" xfId="0" applyNumberFormat="1" applyFont="1" applyFill="1" applyBorder="1" applyAlignment="1" applyProtection="1">
      <alignment vertical="top" wrapText="1"/>
    </xf>
    <xf numFmtId="0" fontId="9" fillId="5" borderId="6" xfId="0" applyNumberFormat="1" applyFont="1" applyFill="1" applyBorder="1" applyAlignment="1" applyProtection="1">
      <alignment vertical="top" wrapText="1"/>
      <protection locked="0"/>
    </xf>
    <xf numFmtId="0" fontId="13" fillId="0" borderId="0" xfId="0" applyFont="1" applyFill="1" applyBorder="1" applyAlignment="1" applyProtection="1">
      <alignment horizontal="center" vertical="top" wrapText="1"/>
    </xf>
    <xf numFmtId="164" fontId="11" fillId="0" borderId="0" xfId="0" applyNumberFormat="1" applyFont="1" applyFill="1" applyBorder="1" applyAlignment="1" applyProtection="1">
      <alignment vertical="top" wrapText="1"/>
    </xf>
    <xf numFmtId="0" fontId="11" fillId="0" borderId="0" xfId="0" applyNumberFormat="1" applyFont="1" applyFill="1" applyBorder="1" applyAlignment="1" applyProtection="1">
      <alignment horizontal="center" vertical="top" wrapText="1"/>
    </xf>
    <xf numFmtId="164" fontId="9" fillId="0" borderId="0" xfId="0" applyNumberFormat="1" applyFont="1" applyFill="1" applyBorder="1" applyAlignment="1" applyProtection="1">
      <alignment vertical="top" wrapText="1"/>
      <protection locked="0"/>
    </xf>
    <xf numFmtId="0" fontId="14" fillId="0" borderId="0" xfId="0" applyNumberFormat="1" applyFont="1" applyFill="1" applyBorder="1" applyAlignment="1" applyProtection="1">
      <alignment horizontal="center" vertical="center"/>
    </xf>
    <xf numFmtId="165" fontId="9" fillId="0" borderId="0" xfId="0" applyNumberFormat="1" applyFont="1" applyFill="1" applyBorder="1" applyAlignment="1" applyProtection="1">
      <alignment horizontal="center" vertical="top" wrapText="1"/>
      <protection locked="0"/>
    </xf>
    <xf numFmtId="9" fontId="9" fillId="0" borderId="0" xfId="0" applyNumberFormat="1" applyFont="1" applyFill="1" applyBorder="1" applyAlignment="1" applyProtection="1">
      <alignment horizontal="left" vertical="top" wrapText="1"/>
      <protection locked="0"/>
    </xf>
    <xf numFmtId="166" fontId="9" fillId="0" borderId="0" xfId="0" applyNumberFormat="1" applyFont="1" applyFill="1" applyBorder="1" applyAlignment="1" applyProtection="1">
      <alignment vertical="top" wrapText="1"/>
    </xf>
    <xf numFmtId="1" fontId="9" fillId="0" borderId="0" xfId="0" applyNumberFormat="1" applyFont="1" applyFill="1" applyBorder="1" applyAlignment="1" applyProtection="1">
      <alignment vertical="top" wrapText="1"/>
      <protection locked="0"/>
    </xf>
    <xf numFmtId="0" fontId="9" fillId="0" borderId="0" xfId="0" applyNumberFormat="1" applyFont="1" applyFill="1" applyBorder="1" applyAlignment="1" applyProtection="1">
      <alignment vertical="top" wrapText="1"/>
      <protection locked="0"/>
    </xf>
    <xf numFmtId="0" fontId="13" fillId="0" borderId="0" xfId="0" applyNumberFormat="1" applyFont="1" applyFill="1" applyBorder="1" applyAlignment="1" applyProtection="1">
      <alignment horizontal="left" vertical="top" wrapText="1" indent="1"/>
    </xf>
    <xf numFmtId="0" fontId="12" fillId="8" borderId="2" xfId="0" applyFont="1" applyFill="1" applyBorder="1" applyAlignment="1" applyProtection="1">
      <alignment horizontal="center" vertical="center"/>
    </xf>
    <xf numFmtId="0" fontId="17" fillId="0" borderId="0" xfId="0" applyFont="1" applyFill="1" applyBorder="1" applyAlignment="1" applyProtection="1">
      <alignment horizontal="left" vertical="top" wrapText="1"/>
    </xf>
    <xf numFmtId="0" fontId="13" fillId="0" borderId="0" xfId="0" applyFont="1" applyFill="1" applyBorder="1" applyAlignment="1" applyProtection="1">
      <alignment horizontal="center" vertical="top" wrapText="1"/>
    </xf>
    <xf numFmtId="0" fontId="13" fillId="0" borderId="0" xfId="0" applyFont="1" applyFill="1" applyBorder="1" applyAlignment="1" applyProtection="1">
      <alignment horizontal="left" vertical="top" wrapText="1"/>
    </xf>
    <xf numFmtId="0" fontId="16" fillId="5" borderId="5" xfId="0" applyFont="1" applyFill="1" applyBorder="1" applyAlignment="1" applyProtection="1">
      <alignment horizontal="left" vertical="top"/>
    </xf>
    <xf numFmtId="0" fontId="17" fillId="0" borderId="0" xfId="0" applyNumberFormat="1" applyFont="1" applyFill="1" applyBorder="1" applyAlignment="1" applyProtection="1">
      <alignment horizontal="left" vertical="top" wrapText="1"/>
    </xf>
    <xf numFmtId="0" fontId="11" fillId="10" borderId="0" xfId="0" applyNumberFormat="1" applyFont="1" applyFill="1" applyBorder="1" applyAlignment="1" applyProtection="1">
      <alignment horizontal="center" vertical="top" wrapText="1"/>
    </xf>
    <xf numFmtId="0" fontId="11" fillId="11" borderId="0" xfId="0" applyNumberFormat="1" applyFont="1" applyFill="1" applyBorder="1" applyAlignment="1" applyProtection="1">
      <alignment horizontal="center" vertical="top" wrapText="1"/>
    </xf>
    <xf numFmtId="0" fontId="13" fillId="0" borderId="0" xfId="0" applyFont="1" applyFill="1" applyBorder="1" applyAlignment="1" applyProtection="1">
      <alignment horizontal="center" vertical="top" wrapText="1"/>
    </xf>
    <xf numFmtId="0" fontId="11" fillId="10" borderId="0" xfId="0" applyNumberFormat="1" applyFont="1" applyFill="1" applyBorder="1" applyAlignment="1" applyProtection="1">
      <alignment horizontal="center" vertical="top" wrapText="1"/>
    </xf>
    <xf numFmtId="164" fontId="19" fillId="0" borderId="0" xfId="0" applyNumberFormat="1" applyFont="1" applyFill="1" applyBorder="1" applyAlignment="1" applyProtection="1">
      <alignment vertical="top" wrapText="1"/>
      <protection locked="0"/>
    </xf>
    <xf numFmtId="164" fontId="19" fillId="5" borderId="5" xfId="0" applyNumberFormat="1" applyFont="1" applyFill="1" applyBorder="1" applyAlignment="1" applyProtection="1">
      <alignment vertical="top" wrapText="1"/>
      <protection locked="0"/>
    </xf>
    <xf numFmtId="0" fontId="0" fillId="0" borderId="1" xfId="0" applyFill="1" applyBorder="1"/>
    <xf numFmtId="0" fontId="6" fillId="0" borderId="0" xfId="0" applyNumberFormat="1" applyFont="1" applyFill="1" applyAlignment="1" applyProtection="1">
      <alignment horizontal="left" vertical="center"/>
    </xf>
    <xf numFmtId="0" fontId="13" fillId="0" borderId="0" xfId="0" applyFont="1" applyFill="1" applyBorder="1" applyAlignment="1" applyProtection="1">
      <alignment horizontal="left" vertical="top" wrapText="1" indent="1"/>
    </xf>
    <xf numFmtId="0" fontId="13" fillId="12" borderId="0" xfId="0" applyFont="1" applyFill="1" applyBorder="1" applyAlignment="1" applyProtection="1">
      <alignment horizontal="center" vertical="top" wrapText="1"/>
    </xf>
    <xf numFmtId="0" fontId="17" fillId="12" borderId="0" xfId="0" applyFont="1" applyFill="1" applyBorder="1" applyAlignment="1" applyProtection="1">
      <alignment horizontal="left" vertical="top" wrapText="1"/>
    </xf>
    <xf numFmtId="0" fontId="17" fillId="12" borderId="0" xfId="0" applyNumberFormat="1" applyFont="1" applyFill="1" applyBorder="1" applyAlignment="1" applyProtection="1">
      <alignment horizontal="left" vertical="top" wrapText="1"/>
    </xf>
    <xf numFmtId="164" fontId="11" fillId="12" borderId="0" xfId="0" applyNumberFormat="1" applyFont="1" applyFill="1" applyBorder="1" applyAlignment="1" applyProtection="1">
      <alignment vertical="top" wrapText="1"/>
    </xf>
    <xf numFmtId="0" fontId="11" fillId="12" borderId="0" xfId="0" applyNumberFormat="1" applyFont="1" applyFill="1" applyBorder="1" applyAlignment="1" applyProtection="1">
      <alignment horizontal="center" vertical="top" wrapText="1"/>
    </xf>
    <xf numFmtId="0" fontId="14" fillId="12" borderId="0" xfId="0" applyNumberFormat="1" applyFont="1" applyFill="1" applyBorder="1" applyAlignment="1" applyProtection="1">
      <alignment horizontal="center" vertical="center"/>
    </xf>
    <xf numFmtId="165" fontId="9" fillId="12" borderId="0" xfId="0" applyNumberFormat="1" applyFont="1" applyFill="1" applyBorder="1" applyAlignment="1" applyProtection="1">
      <alignment horizontal="center" vertical="top" wrapText="1"/>
      <protection locked="0"/>
    </xf>
    <xf numFmtId="9" fontId="9" fillId="12" borderId="0" xfId="0" applyNumberFormat="1" applyFont="1" applyFill="1" applyBorder="1" applyAlignment="1" applyProtection="1">
      <alignment horizontal="left" vertical="top" wrapText="1"/>
      <protection locked="0"/>
    </xf>
    <xf numFmtId="166" fontId="9" fillId="12" borderId="0" xfId="0" applyNumberFormat="1" applyFont="1" applyFill="1" applyBorder="1" applyAlignment="1" applyProtection="1">
      <alignment vertical="top" wrapText="1"/>
    </xf>
    <xf numFmtId="0" fontId="13" fillId="12" borderId="0" xfId="0" applyFont="1" applyFill="1" applyBorder="1" applyAlignment="1" applyProtection="1">
      <alignment horizontal="left" vertical="top" wrapText="1"/>
    </xf>
    <xf numFmtId="0" fontId="9" fillId="12" borderId="0" xfId="0" applyNumberFormat="1" applyFont="1" applyFill="1" applyBorder="1" applyAlignment="1" applyProtection="1">
      <alignment vertical="top" wrapText="1"/>
      <protection locked="0"/>
    </xf>
    <xf numFmtId="0" fontId="13" fillId="12" borderId="0" xfId="0" applyNumberFormat="1" applyFont="1" applyFill="1" applyBorder="1" applyAlignment="1" applyProtection="1">
      <alignment horizontal="left" vertical="top" wrapText="1" indent="1"/>
    </xf>
    <xf numFmtId="0" fontId="13" fillId="12" borderId="0" xfId="0" applyFont="1" applyFill="1" applyBorder="1" applyAlignment="1" applyProtection="1">
      <alignment horizontal="left" vertical="top" wrapText="1" indent="1"/>
    </xf>
    <xf numFmtId="164" fontId="19" fillId="12" borderId="0" xfId="0" applyNumberFormat="1" applyFont="1" applyFill="1" applyBorder="1" applyAlignment="1" applyProtection="1">
      <alignment vertical="top" wrapText="1"/>
      <protection locked="0"/>
    </xf>
    <xf numFmtId="1" fontId="9" fillId="12" borderId="0" xfId="0" applyNumberFormat="1" applyFont="1" applyFill="1" applyBorder="1" applyAlignment="1" applyProtection="1">
      <alignment vertical="top" wrapText="1"/>
      <protection locked="0"/>
    </xf>
    <xf numFmtId="0" fontId="21" fillId="0" borderId="0" xfId="0" applyFont="1"/>
    <xf numFmtId="0" fontId="0" fillId="0" borderId="0" xfId="0" quotePrefix="1"/>
    <xf numFmtId="0" fontId="20" fillId="0" borderId="0" xfId="0" quotePrefix="1" applyFont="1"/>
    <xf numFmtId="0" fontId="12" fillId="8" borderId="0" xfId="0" applyFont="1" applyFill="1" applyBorder="1" applyAlignment="1" applyProtection="1">
      <alignment horizontal="center" vertical="center"/>
    </xf>
    <xf numFmtId="0" fontId="7" fillId="13" borderId="3" xfId="0" applyFont="1" applyFill="1" applyBorder="1" applyAlignment="1" applyProtection="1">
      <alignment horizontal="center" vertical="center" wrapText="1"/>
    </xf>
    <xf numFmtId="0" fontId="7" fillId="14" borderId="3" xfId="0" applyFont="1" applyFill="1" applyBorder="1" applyAlignment="1" applyProtection="1">
      <alignment horizontal="center" vertical="center" wrapText="1"/>
    </xf>
    <xf numFmtId="0" fontId="7" fillId="14" borderId="4" xfId="0" applyFont="1" applyFill="1" applyBorder="1" applyAlignment="1" applyProtection="1">
      <alignment horizontal="center" vertical="center" wrapText="1"/>
    </xf>
    <xf numFmtId="0" fontId="7" fillId="13" borderId="4" xfId="0" applyFont="1" applyFill="1" applyBorder="1" applyAlignment="1" applyProtection="1">
      <alignment horizontal="center" vertical="center" wrapText="1"/>
    </xf>
    <xf numFmtId="0" fontId="17" fillId="0" borderId="0" xfId="0" quotePrefix="1" applyNumberFormat="1" applyFont="1" applyFill="1" applyBorder="1" applyAlignment="1" applyProtection="1">
      <alignment horizontal="left" vertical="top" wrapText="1"/>
    </xf>
    <xf numFmtId="0" fontId="17" fillId="0" borderId="0" xfId="0" applyNumberFormat="1" applyFont="1" applyFill="1" applyBorder="1" applyAlignment="1" applyProtection="1">
      <alignment horizontal="left" vertical="top" wrapText="1"/>
    </xf>
    <xf numFmtId="0" fontId="17" fillId="12" borderId="0" xfId="0" quotePrefix="1" applyNumberFormat="1" applyFont="1" applyFill="1" applyBorder="1" applyAlignment="1" applyProtection="1">
      <alignment horizontal="left" vertical="top" wrapText="1"/>
    </xf>
    <xf numFmtId="0" fontId="12" fillId="8" borderId="0" xfId="0" applyFont="1" applyFill="1" applyBorder="1" applyAlignment="1" applyProtection="1">
      <alignment horizontal="center" vertical="center"/>
    </xf>
    <xf numFmtId="0" fontId="12" fillId="8" borderId="2" xfId="0" applyFont="1" applyFill="1" applyBorder="1" applyAlignment="1" applyProtection="1">
      <alignment horizontal="center" vertical="center"/>
    </xf>
    <xf numFmtId="0" fontId="12" fillId="9" borderId="0" xfId="0" applyFont="1" applyFill="1" applyBorder="1" applyAlignment="1" applyProtection="1">
      <alignment horizontal="center" vertical="center"/>
    </xf>
    <xf numFmtId="0" fontId="12" fillId="14" borderId="2" xfId="0" applyFont="1" applyFill="1" applyBorder="1" applyAlignment="1" applyProtection="1">
      <alignment horizontal="center" vertical="center"/>
    </xf>
    <xf numFmtId="0" fontId="12" fillId="13" borderId="2" xfId="0" applyFont="1" applyFill="1" applyBorder="1" applyAlignment="1" applyProtection="1">
      <alignment horizontal="center" vertical="center"/>
    </xf>
  </cellXfs>
  <cellStyles count="7">
    <cellStyle name="Normal" xfId="0" builtinId="0"/>
    <cellStyle name="Normal 2" xfId="3"/>
    <cellStyle name="Normal 23" xfId="2"/>
    <cellStyle name="Normal 3" xfId="1"/>
    <cellStyle name="Normal 4" xfId="4"/>
    <cellStyle name="Normal 5" xfId="6"/>
    <cellStyle name="標準 2" xfId="5"/>
  </cellStyles>
  <dxfs count="103"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02"/>
      <tableStyleElement type="headerRow" dxfId="101"/>
    </tableStyle>
  </tableStyles>
  <colors>
    <mruColors>
      <color rgb="FFE4E4E4"/>
      <color rgb="FFC5FFDF"/>
      <color rgb="FFFFFFCC"/>
      <color rgb="FFFF4F4F"/>
      <color rgb="FFFB051C"/>
      <color rgb="FFFF7C80"/>
      <color rgb="FFFF9966"/>
      <color rgb="FFFFD1D1"/>
      <color rgb="FFFFCC99"/>
      <color rgb="FFFFA7A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18</xdr:row>
      <xdr:rowOff>104775</xdr:rowOff>
    </xdr:from>
    <xdr:to>
      <xdr:col>21</xdr:col>
      <xdr:colOff>531811</xdr:colOff>
      <xdr:row>31</xdr:row>
      <xdr:rowOff>133037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9125" y="3057525"/>
          <a:ext cx="12714286" cy="2504762"/>
        </a:xfrm>
        <a:prstGeom prst="rect">
          <a:avLst/>
        </a:prstGeom>
      </xdr:spPr>
    </xdr:pic>
    <xdr:clientData/>
  </xdr:twoCellAnchor>
  <xdr:twoCellAnchor>
    <xdr:from>
      <xdr:col>16</xdr:col>
      <xdr:colOff>523875</xdr:colOff>
      <xdr:row>18</xdr:row>
      <xdr:rowOff>114300</xdr:rowOff>
    </xdr:from>
    <xdr:to>
      <xdr:col>19</xdr:col>
      <xdr:colOff>561975</xdr:colOff>
      <xdr:row>20</xdr:row>
      <xdr:rowOff>104775</xdr:rowOff>
    </xdr:to>
    <xdr:sp macro="" textlink="">
      <xdr:nvSpPr>
        <xdr:cNvPr id="3" name="Rectangle 2"/>
        <xdr:cNvSpPr/>
      </xdr:nvSpPr>
      <xdr:spPr>
        <a:xfrm>
          <a:off x="10277475" y="3067050"/>
          <a:ext cx="1866900" cy="371475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13</xdr:col>
      <xdr:colOff>284800</xdr:colOff>
      <xdr:row>43</xdr:row>
      <xdr:rowOff>66524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6572250"/>
          <a:ext cx="7600000" cy="1209524"/>
        </a:xfrm>
        <a:prstGeom prst="rect">
          <a:avLst/>
        </a:prstGeom>
      </xdr:spPr>
    </xdr:pic>
    <xdr:clientData/>
  </xdr:twoCellAnchor>
  <xdr:twoCellAnchor>
    <xdr:from>
      <xdr:col>0</xdr:col>
      <xdr:colOff>561975</xdr:colOff>
      <xdr:row>42</xdr:row>
      <xdr:rowOff>9526</xdr:rowOff>
    </xdr:from>
    <xdr:to>
      <xdr:col>3</xdr:col>
      <xdr:colOff>600075</xdr:colOff>
      <xdr:row>43</xdr:row>
      <xdr:rowOff>142876</xdr:rowOff>
    </xdr:to>
    <xdr:sp macro="" textlink="">
      <xdr:nvSpPr>
        <xdr:cNvPr id="6" name="Rectangle 5"/>
        <xdr:cNvSpPr/>
      </xdr:nvSpPr>
      <xdr:spPr>
        <a:xfrm>
          <a:off x="561975" y="7534276"/>
          <a:ext cx="1866900" cy="323850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238125</xdr:colOff>
      <xdr:row>39</xdr:row>
      <xdr:rowOff>19051</xdr:rowOff>
    </xdr:from>
    <xdr:to>
      <xdr:col>12</xdr:col>
      <xdr:colOff>304800</xdr:colOff>
      <xdr:row>40</xdr:row>
      <xdr:rowOff>152401</xdr:rowOff>
    </xdr:to>
    <xdr:sp macro="" textlink="">
      <xdr:nvSpPr>
        <xdr:cNvPr id="7" name="Rectangle 6"/>
        <xdr:cNvSpPr/>
      </xdr:nvSpPr>
      <xdr:spPr>
        <a:xfrm>
          <a:off x="3895725" y="6972301"/>
          <a:ext cx="3724275" cy="323850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30</xdr:col>
      <xdr:colOff>607314</xdr:colOff>
      <xdr:row>96</xdr:row>
      <xdr:rowOff>8309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8096250"/>
          <a:ext cx="18285714" cy="9723809"/>
        </a:xfrm>
        <a:prstGeom prst="rect">
          <a:avLst/>
        </a:prstGeom>
      </xdr:spPr>
    </xdr:pic>
    <xdr:clientData/>
  </xdr:twoCellAnchor>
  <xdr:twoCellAnchor>
    <xdr:from>
      <xdr:col>1</xdr:col>
      <xdr:colOff>476251</xdr:colOff>
      <xdr:row>79</xdr:row>
      <xdr:rowOff>133350</xdr:rowOff>
    </xdr:from>
    <xdr:to>
      <xdr:col>6</xdr:col>
      <xdr:colOff>419101</xdr:colOff>
      <xdr:row>85</xdr:row>
      <xdr:rowOff>114299</xdr:rowOff>
    </xdr:to>
    <xdr:sp macro="" textlink="">
      <xdr:nvSpPr>
        <xdr:cNvPr id="9" name="Rectangle 8"/>
        <xdr:cNvSpPr/>
      </xdr:nvSpPr>
      <xdr:spPr>
        <a:xfrm>
          <a:off x="1085851" y="14706600"/>
          <a:ext cx="2990850" cy="1123949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9</xdr:col>
      <xdr:colOff>466057</xdr:colOff>
      <xdr:row>122</xdr:row>
      <xdr:rowOff>142476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20288250"/>
          <a:ext cx="5342857" cy="319047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idtk/Documents/Projects/AMO/SVN/99_Doc/30_Design/Schedule/&#12304;AMO&#12305;WBS_WR%20Application&#35373;&#35336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"/>
      <sheetName val="Daily Track"/>
      <sheetName val="Milestones"/>
      <sheetName val="Resource"/>
      <sheetName val="Holidays"/>
      <sheetName val="Sheet6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13" Type="http://schemas.openxmlformats.org/officeDocument/2006/relationships/printerSettings" Target="../printerSettings/printerSettings14.bin"/><Relationship Id="rId18" Type="http://schemas.openxmlformats.org/officeDocument/2006/relationships/printerSettings" Target="../printerSettings/printerSettings19.bin"/><Relationship Id="rId3" Type="http://schemas.openxmlformats.org/officeDocument/2006/relationships/printerSettings" Target="../printerSettings/printerSettings4.bin"/><Relationship Id="rId21" Type="http://schemas.openxmlformats.org/officeDocument/2006/relationships/printerSettings" Target="../printerSettings/printerSettings22.bin"/><Relationship Id="rId7" Type="http://schemas.openxmlformats.org/officeDocument/2006/relationships/printerSettings" Target="../printerSettings/printerSettings8.bin"/><Relationship Id="rId12" Type="http://schemas.openxmlformats.org/officeDocument/2006/relationships/printerSettings" Target="../printerSettings/printerSettings13.bin"/><Relationship Id="rId17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3.bin"/><Relationship Id="rId16" Type="http://schemas.openxmlformats.org/officeDocument/2006/relationships/printerSettings" Target="../printerSettings/printerSettings17.bin"/><Relationship Id="rId20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.bin"/><Relationship Id="rId6" Type="http://schemas.openxmlformats.org/officeDocument/2006/relationships/printerSettings" Target="../printerSettings/printerSettings7.bin"/><Relationship Id="rId11" Type="http://schemas.openxmlformats.org/officeDocument/2006/relationships/printerSettings" Target="../printerSettings/printerSettings12.bin"/><Relationship Id="rId5" Type="http://schemas.openxmlformats.org/officeDocument/2006/relationships/printerSettings" Target="../printerSettings/printerSettings6.bin"/><Relationship Id="rId15" Type="http://schemas.openxmlformats.org/officeDocument/2006/relationships/printerSettings" Target="../printerSettings/printerSettings16.bin"/><Relationship Id="rId10" Type="http://schemas.openxmlformats.org/officeDocument/2006/relationships/printerSettings" Target="../printerSettings/printerSettings11.bin"/><Relationship Id="rId19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5.bin"/><Relationship Id="rId9" Type="http://schemas.openxmlformats.org/officeDocument/2006/relationships/printerSettings" Target="../printerSettings/printerSettings10.bin"/><Relationship Id="rId14" Type="http://schemas.openxmlformats.org/officeDocument/2006/relationships/printerSettings" Target="../printerSettings/printerSettings15.bin"/><Relationship Id="rId22" Type="http://schemas.openxmlformats.org/officeDocument/2006/relationships/printerSettings" Target="../printerSettings/printerSettings2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  <outlinePr summaryBelow="0" showOutlineSymbols="0"/>
  </sheetPr>
  <dimension ref="A1:X1046266"/>
  <sheetViews>
    <sheetView tabSelected="1" zoomScaleNormal="100" workbookViewId="0">
      <pane xSplit="5" ySplit="3" topLeftCell="F4" activePane="bottomRight" state="frozen"/>
      <selection pane="topRight" activeCell="F1" sqref="F1"/>
      <selection pane="bottomLeft" activeCell="A3" sqref="A3"/>
      <selection pane="bottomRight" activeCell="Q10" sqref="Q10"/>
    </sheetView>
  </sheetViews>
  <sheetFormatPr defaultColWidth="9.140625" defaultRowHeight="15" outlineLevelRow="1"/>
  <cols>
    <col min="1" max="1" width="3.5703125" style="10" bestFit="1" customWidth="1"/>
    <col min="2" max="2" width="11.5703125" style="10" customWidth="1"/>
    <col min="3" max="3" width="27" style="10" customWidth="1"/>
    <col min="4" max="4" width="16.85546875" style="10" customWidth="1"/>
    <col min="5" max="5" width="67.28515625" style="22" bestFit="1" customWidth="1"/>
    <col min="6" max="7" width="11.28515625" style="10" hidden="1" customWidth="1"/>
    <col min="8" max="9" width="6.7109375" style="10" customWidth="1"/>
    <col min="10" max="10" width="12.42578125" style="14" bestFit="1" customWidth="1"/>
    <col min="11" max="11" width="7.85546875" style="14" hidden="1" customWidth="1"/>
    <col min="12" max="13" width="6.7109375" style="11" customWidth="1"/>
    <col min="14" max="14" width="8.28515625" style="10" customWidth="1"/>
    <col min="15" max="15" width="11.28515625" style="11" bestFit="1" customWidth="1"/>
    <col min="16" max="16" width="9.5703125" style="15" customWidth="1"/>
    <col min="17" max="18" width="6.7109375" style="11" customWidth="1"/>
    <col min="19" max="19" width="8.28515625" style="10" customWidth="1"/>
    <col min="20" max="20" width="11.28515625" style="11" bestFit="1" customWidth="1"/>
    <col min="21" max="21" width="9.5703125" style="15" customWidth="1"/>
    <col min="22" max="22" width="32.85546875" style="18" customWidth="1"/>
    <col min="23" max="23" width="33.42578125" style="18" bestFit="1" customWidth="1"/>
    <col min="24" max="24" width="36.5703125" style="16" customWidth="1"/>
    <col min="25" max="16384" width="9.140625" style="8"/>
  </cols>
  <sheetData>
    <row r="1" spans="1:24" s="23" customFormat="1">
      <c r="A1" s="9"/>
      <c r="B1" s="9"/>
      <c r="C1" s="9"/>
      <c r="D1" s="9"/>
      <c r="E1" s="9"/>
      <c r="F1" s="9"/>
      <c r="G1" s="9"/>
      <c r="H1" s="94" t="s">
        <v>5</v>
      </c>
      <c r="I1" s="94"/>
      <c r="J1" s="94"/>
      <c r="K1" s="53"/>
      <c r="L1" s="96" t="s">
        <v>6</v>
      </c>
      <c r="M1" s="96"/>
      <c r="N1" s="96"/>
      <c r="O1" s="96"/>
      <c r="P1" s="96"/>
      <c r="Q1" s="96"/>
      <c r="R1" s="96"/>
      <c r="S1" s="96"/>
      <c r="T1" s="96"/>
      <c r="U1" s="96"/>
      <c r="V1" s="7"/>
      <c r="W1" s="7"/>
      <c r="X1" s="7"/>
    </row>
    <row r="2" spans="1:24" s="23" customFormat="1">
      <c r="A2" s="9"/>
      <c r="B2" s="9"/>
      <c r="C2" s="9"/>
      <c r="D2" s="9"/>
      <c r="E2" s="9"/>
      <c r="F2" s="9"/>
      <c r="G2" s="9"/>
      <c r="H2" s="95"/>
      <c r="I2" s="95"/>
      <c r="J2" s="95"/>
      <c r="K2" s="86"/>
      <c r="L2" s="97" t="s">
        <v>22</v>
      </c>
      <c r="M2" s="97"/>
      <c r="N2" s="97"/>
      <c r="O2" s="97"/>
      <c r="P2" s="97"/>
      <c r="Q2" s="98" t="s">
        <v>80</v>
      </c>
      <c r="R2" s="98"/>
      <c r="S2" s="98"/>
      <c r="T2" s="98"/>
      <c r="U2" s="98"/>
      <c r="V2" s="7"/>
      <c r="W2" s="7"/>
      <c r="X2" s="7"/>
    </row>
    <row r="3" spans="1:24" s="24" customFormat="1" ht="48" customHeight="1">
      <c r="A3" s="26" t="s">
        <v>4</v>
      </c>
      <c r="B3" s="26" t="s">
        <v>25</v>
      </c>
      <c r="C3" s="26" t="s">
        <v>34</v>
      </c>
      <c r="D3" s="26" t="s">
        <v>8</v>
      </c>
      <c r="E3" s="26" t="s">
        <v>16</v>
      </c>
      <c r="F3" s="26" t="s">
        <v>19</v>
      </c>
      <c r="G3" s="26" t="s">
        <v>20</v>
      </c>
      <c r="H3" s="28" t="s">
        <v>12</v>
      </c>
      <c r="I3" s="28" t="s">
        <v>13</v>
      </c>
      <c r="J3" s="28" t="s">
        <v>21</v>
      </c>
      <c r="K3" s="28"/>
      <c r="L3" s="88" t="s">
        <v>14</v>
      </c>
      <c r="M3" s="88" t="s">
        <v>15</v>
      </c>
      <c r="N3" s="88" t="s">
        <v>21</v>
      </c>
      <c r="O3" s="88" t="s">
        <v>3</v>
      </c>
      <c r="P3" s="89" t="s">
        <v>11</v>
      </c>
      <c r="Q3" s="87" t="s">
        <v>14</v>
      </c>
      <c r="R3" s="87" t="s">
        <v>15</v>
      </c>
      <c r="S3" s="87" t="s">
        <v>21</v>
      </c>
      <c r="T3" s="87" t="s">
        <v>3</v>
      </c>
      <c r="U3" s="90" t="s">
        <v>11</v>
      </c>
      <c r="V3" s="27" t="s">
        <v>17</v>
      </c>
      <c r="W3" s="26" t="s">
        <v>18</v>
      </c>
      <c r="X3" s="26" t="s">
        <v>10</v>
      </c>
    </row>
    <row r="4" spans="1:24" ht="12" customHeight="1">
      <c r="A4" s="29" t="s">
        <v>28</v>
      </c>
      <c r="B4" s="57"/>
      <c r="C4" s="30"/>
      <c r="D4" s="30"/>
      <c r="E4" s="31"/>
      <c r="F4" s="32"/>
      <c r="G4" s="32"/>
      <c r="H4" s="33"/>
      <c r="I4" s="34"/>
      <c r="J4" s="35"/>
      <c r="K4" s="35"/>
      <c r="L4" s="36"/>
      <c r="M4" s="36"/>
      <c r="N4" s="37"/>
      <c r="O4" s="38"/>
      <c r="P4" s="39"/>
      <c r="Q4" s="36"/>
      <c r="R4" s="36"/>
      <c r="S4" s="37"/>
      <c r="T4" s="38"/>
      <c r="U4" s="39"/>
      <c r="V4" s="40"/>
      <c r="W4" s="40"/>
      <c r="X4" s="41"/>
    </row>
    <row r="5" spans="1:24" ht="11.25" outlineLevel="1">
      <c r="A5" s="42">
        <v>1</v>
      </c>
      <c r="B5" s="54" t="s">
        <v>29</v>
      </c>
      <c r="C5" s="91" t="s">
        <v>35</v>
      </c>
      <c r="D5" s="58">
        <v>1.1000000000000001</v>
      </c>
      <c r="E5" s="54" t="s">
        <v>36</v>
      </c>
      <c r="F5" s="61"/>
      <c r="G5" s="42"/>
      <c r="H5" s="43"/>
      <c r="I5" s="43"/>
      <c r="J5" s="44"/>
      <c r="K5" s="44"/>
      <c r="L5" s="45"/>
      <c r="M5" s="45"/>
      <c r="N5" s="46"/>
      <c r="O5" s="47"/>
      <c r="P5" s="48"/>
      <c r="Q5" s="45"/>
      <c r="R5" s="45"/>
      <c r="S5" s="46"/>
      <c r="T5" s="47"/>
      <c r="U5" s="48"/>
      <c r="V5" s="49"/>
      <c r="W5" s="56"/>
      <c r="X5" s="51"/>
    </row>
    <row r="6" spans="1:24" s="66" customFormat="1" ht="33.75" outlineLevel="1">
      <c r="A6" s="61">
        <v>2</v>
      </c>
      <c r="B6" s="61"/>
      <c r="C6" s="92"/>
      <c r="D6" s="52" t="s">
        <v>23</v>
      </c>
      <c r="E6" s="67" t="s">
        <v>96</v>
      </c>
      <c r="F6" s="61" t="s">
        <v>22</v>
      </c>
      <c r="G6" s="61" t="s">
        <v>80</v>
      </c>
      <c r="H6" s="43">
        <v>44105</v>
      </c>
      <c r="I6" s="43">
        <v>44109</v>
      </c>
      <c r="J6" s="44">
        <f>3*7</f>
        <v>21</v>
      </c>
      <c r="K6" s="44"/>
      <c r="L6" s="43">
        <v>44104</v>
      </c>
      <c r="M6" s="43">
        <v>44104</v>
      </c>
      <c r="N6" s="46">
        <v>7</v>
      </c>
      <c r="O6" s="47" t="s">
        <v>101</v>
      </c>
      <c r="P6" s="48">
        <v>1</v>
      </c>
      <c r="Q6" s="43"/>
      <c r="R6" s="43"/>
      <c r="S6" s="46"/>
      <c r="T6" s="47" t="s">
        <v>101</v>
      </c>
      <c r="U6" s="48">
        <v>1</v>
      </c>
      <c r="V6" s="49" t="s">
        <v>40</v>
      </c>
      <c r="W6" s="56" t="s">
        <v>79</v>
      </c>
      <c r="X6" s="49" t="s">
        <v>38</v>
      </c>
    </row>
    <row r="7" spans="1:24" s="66" customFormat="1" ht="12" customHeight="1" outlineLevel="1">
      <c r="A7" s="61">
        <v>3</v>
      </c>
      <c r="B7" s="61"/>
      <c r="C7" s="92"/>
      <c r="D7" s="52" t="s">
        <v>24</v>
      </c>
      <c r="E7" s="67" t="s">
        <v>41</v>
      </c>
      <c r="F7" s="61" t="s">
        <v>22</v>
      </c>
      <c r="G7" s="61"/>
      <c r="I7" s="43">
        <v>44109</v>
      </c>
      <c r="J7" s="44">
        <f>3*7</f>
        <v>21</v>
      </c>
      <c r="K7" s="59"/>
      <c r="L7" s="43">
        <v>44104</v>
      </c>
      <c r="M7" s="43">
        <v>44105</v>
      </c>
      <c r="N7" s="46">
        <v>7</v>
      </c>
      <c r="O7" s="47" t="s">
        <v>101</v>
      </c>
      <c r="P7" s="48">
        <v>1</v>
      </c>
      <c r="Q7" s="43"/>
      <c r="R7" s="45"/>
      <c r="S7" s="46"/>
      <c r="T7" s="47"/>
      <c r="U7" s="48"/>
      <c r="V7" s="49" t="s">
        <v>37</v>
      </c>
      <c r="W7" s="56"/>
      <c r="X7" s="51" t="s">
        <v>78</v>
      </c>
    </row>
    <row r="8" spans="1:24" s="66" customFormat="1" ht="12" customHeight="1" outlineLevel="1">
      <c r="A8" s="61">
        <v>4</v>
      </c>
      <c r="B8" s="61"/>
      <c r="C8" s="92"/>
      <c r="D8" s="58">
        <v>1.2</v>
      </c>
      <c r="E8" s="54" t="s">
        <v>39</v>
      </c>
      <c r="F8" s="61"/>
      <c r="G8" s="61"/>
      <c r="H8" s="43"/>
      <c r="I8" s="43"/>
      <c r="J8" s="44"/>
      <c r="K8" s="60"/>
      <c r="L8" s="43"/>
      <c r="M8" s="45"/>
      <c r="N8" s="46"/>
      <c r="O8" s="47"/>
      <c r="P8" s="48"/>
      <c r="Q8" s="43"/>
      <c r="R8" s="45"/>
      <c r="S8" s="46"/>
      <c r="T8" s="47"/>
      <c r="U8" s="48"/>
      <c r="V8" s="49"/>
      <c r="W8" s="56"/>
      <c r="X8" s="51"/>
    </row>
    <row r="9" spans="1:24" s="66" customFormat="1" ht="12" customHeight="1" outlineLevel="1">
      <c r="A9" s="61">
        <v>5</v>
      </c>
      <c r="B9" s="61"/>
      <c r="C9" s="92"/>
      <c r="D9" s="52" t="s">
        <v>26</v>
      </c>
      <c r="E9" s="67" t="s">
        <v>42</v>
      </c>
      <c r="F9" s="61" t="s">
        <v>22</v>
      </c>
      <c r="G9" s="61"/>
      <c r="H9" s="43">
        <v>44105</v>
      </c>
      <c r="I9" s="43">
        <v>44109</v>
      </c>
      <c r="J9" s="44">
        <f t="shared" ref="J9:J10" si="0">3*7</f>
        <v>21</v>
      </c>
      <c r="K9" s="44"/>
      <c r="L9" s="43">
        <v>44105</v>
      </c>
      <c r="M9" s="43"/>
      <c r="N9" s="46"/>
      <c r="O9" s="47"/>
      <c r="P9" s="48"/>
      <c r="Q9" s="43"/>
      <c r="R9" s="43"/>
      <c r="S9" s="46"/>
      <c r="T9" s="47"/>
      <c r="U9" s="48"/>
      <c r="V9" s="49" t="s">
        <v>68</v>
      </c>
      <c r="W9" s="50"/>
      <c r="X9" s="51" t="s">
        <v>100</v>
      </c>
    </row>
    <row r="10" spans="1:24" s="66" customFormat="1" ht="12" customHeight="1" outlineLevel="1">
      <c r="A10" s="61">
        <v>6</v>
      </c>
      <c r="B10" s="61"/>
      <c r="C10" s="92"/>
      <c r="D10" s="52" t="s">
        <v>27</v>
      </c>
      <c r="E10" s="67" t="s">
        <v>43</v>
      </c>
      <c r="F10" s="61" t="s">
        <v>22</v>
      </c>
      <c r="G10" s="61"/>
      <c r="H10" s="43">
        <v>44105</v>
      </c>
      <c r="I10" s="43">
        <v>44109</v>
      </c>
      <c r="J10" s="44">
        <f t="shared" si="0"/>
        <v>21</v>
      </c>
      <c r="K10" s="44"/>
      <c r="L10" s="43">
        <v>44105</v>
      </c>
      <c r="M10" s="43"/>
      <c r="N10" s="46"/>
      <c r="O10" s="47"/>
      <c r="P10" s="48"/>
      <c r="Q10" s="43"/>
      <c r="R10" s="43"/>
      <c r="S10" s="46"/>
      <c r="T10" s="47"/>
      <c r="U10" s="48"/>
      <c r="V10" s="49"/>
      <c r="W10" s="50"/>
      <c r="X10" s="51"/>
    </row>
    <row r="11" spans="1:24" s="66" customFormat="1" ht="12" customHeight="1" outlineLevel="1">
      <c r="A11" s="61">
        <v>7</v>
      </c>
      <c r="B11" s="69" t="s">
        <v>30</v>
      </c>
      <c r="C11" s="93" t="s">
        <v>53</v>
      </c>
      <c r="D11" s="70">
        <v>1.3</v>
      </c>
      <c r="E11" s="69" t="s">
        <v>36</v>
      </c>
      <c r="F11" s="68"/>
      <c r="G11" s="68"/>
      <c r="H11" s="71"/>
      <c r="I11" s="71"/>
      <c r="J11" s="72"/>
      <c r="K11" s="72"/>
      <c r="L11" s="71"/>
      <c r="M11" s="71"/>
      <c r="N11" s="73"/>
      <c r="O11" s="74"/>
      <c r="P11" s="75"/>
      <c r="Q11" s="71"/>
      <c r="R11" s="71"/>
      <c r="S11" s="73"/>
      <c r="T11" s="74"/>
      <c r="U11" s="75"/>
      <c r="V11" s="76"/>
      <c r="W11" s="77"/>
      <c r="X11" s="78"/>
    </row>
    <row r="12" spans="1:24" s="66" customFormat="1" ht="12" customHeight="1" outlineLevel="1">
      <c r="A12" s="61">
        <v>8</v>
      </c>
      <c r="B12" s="68"/>
      <c r="C12" s="93"/>
      <c r="D12" s="79" t="s">
        <v>44</v>
      </c>
      <c r="E12" s="80" t="s">
        <v>45</v>
      </c>
      <c r="F12" s="68"/>
      <c r="G12" s="68"/>
      <c r="H12" s="71">
        <v>44105</v>
      </c>
      <c r="I12" s="71">
        <v>44109</v>
      </c>
      <c r="J12" s="72">
        <f>3*7</f>
        <v>21</v>
      </c>
      <c r="K12" s="72"/>
      <c r="L12" s="71"/>
      <c r="M12" s="71"/>
      <c r="N12" s="73"/>
      <c r="O12" s="74"/>
      <c r="P12" s="75"/>
      <c r="Q12" s="71"/>
      <c r="R12" s="71"/>
      <c r="S12" s="73"/>
      <c r="T12" s="74"/>
      <c r="U12" s="75"/>
      <c r="V12" s="76"/>
      <c r="W12" s="77"/>
      <c r="X12" s="78"/>
    </row>
    <row r="13" spans="1:24" ht="12" customHeight="1">
      <c r="A13" s="29" t="s">
        <v>31</v>
      </c>
      <c r="B13" s="57"/>
      <c r="C13" s="30"/>
      <c r="D13" s="30"/>
      <c r="E13" s="31"/>
      <c r="F13" s="32"/>
      <c r="G13" s="32"/>
      <c r="H13" s="33"/>
      <c r="I13" s="34"/>
      <c r="J13" s="35"/>
      <c r="K13" s="35"/>
      <c r="L13" s="64"/>
      <c r="M13" s="64"/>
      <c r="N13" s="37"/>
      <c r="O13" s="38"/>
      <c r="P13" s="39"/>
      <c r="Q13" s="64"/>
      <c r="R13" s="64"/>
      <c r="S13" s="37"/>
      <c r="T13" s="38"/>
      <c r="U13" s="39"/>
      <c r="V13" s="40"/>
      <c r="W13" s="40"/>
      <c r="X13" s="41"/>
    </row>
    <row r="14" spans="1:24" ht="12" customHeight="1" outlineLevel="1">
      <c r="A14" s="61">
        <v>1</v>
      </c>
      <c r="B14" s="54" t="s">
        <v>29</v>
      </c>
      <c r="C14" s="91" t="s">
        <v>46</v>
      </c>
      <c r="D14" s="58">
        <v>1.1000000000000001</v>
      </c>
      <c r="E14" s="54" t="s">
        <v>36</v>
      </c>
      <c r="F14" s="61"/>
      <c r="G14" s="61"/>
      <c r="H14" s="43"/>
      <c r="I14" s="43"/>
      <c r="J14" s="44"/>
      <c r="K14" s="44"/>
      <c r="L14" s="45"/>
      <c r="M14" s="45"/>
      <c r="N14" s="46"/>
      <c r="O14" s="47"/>
      <c r="P14" s="48"/>
      <c r="Q14" s="45"/>
      <c r="R14" s="45"/>
      <c r="S14" s="46"/>
      <c r="T14" s="47"/>
      <c r="U14" s="48"/>
      <c r="V14" s="49"/>
      <c r="W14" s="56"/>
      <c r="X14" s="51"/>
    </row>
    <row r="15" spans="1:24" s="66" customFormat="1" ht="12" customHeight="1" outlineLevel="1">
      <c r="A15" s="61">
        <v>2</v>
      </c>
      <c r="B15" s="61"/>
      <c r="C15" s="92"/>
      <c r="D15" s="52" t="s">
        <v>23</v>
      </c>
      <c r="E15" s="67" t="s">
        <v>50</v>
      </c>
      <c r="F15" s="61"/>
      <c r="G15" s="61"/>
      <c r="H15" s="43">
        <v>44110</v>
      </c>
      <c r="I15" s="43">
        <v>44118</v>
      </c>
      <c r="J15" s="44">
        <f>7*7</f>
        <v>49</v>
      </c>
      <c r="K15" s="44"/>
      <c r="L15" s="45"/>
      <c r="M15" s="45"/>
      <c r="N15" s="46"/>
      <c r="O15" s="47"/>
      <c r="P15" s="48"/>
      <c r="Q15" s="45"/>
      <c r="R15" s="45"/>
      <c r="S15" s="46"/>
      <c r="T15" s="47"/>
      <c r="U15" s="48"/>
      <c r="V15" s="49" t="s">
        <v>71</v>
      </c>
      <c r="W15" s="56"/>
      <c r="X15" s="49" t="s">
        <v>48</v>
      </c>
    </row>
    <row r="16" spans="1:24" s="66" customFormat="1" ht="12" customHeight="1" outlineLevel="1">
      <c r="A16" s="61">
        <v>3</v>
      </c>
      <c r="B16" s="61"/>
      <c r="C16" s="92"/>
      <c r="D16" s="52" t="s">
        <v>24</v>
      </c>
      <c r="E16" s="67" t="s">
        <v>51</v>
      </c>
      <c r="F16" s="61"/>
      <c r="G16" s="61"/>
      <c r="H16" s="43">
        <v>44110</v>
      </c>
      <c r="I16" s="43">
        <v>44118</v>
      </c>
      <c r="J16" s="44">
        <f>7*7</f>
        <v>49</v>
      </c>
      <c r="K16" s="62"/>
      <c r="L16" s="43"/>
      <c r="M16" s="45"/>
      <c r="N16" s="46"/>
      <c r="O16" s="47"/>
      <c r="P16" s="48"/>
      <c r="Q16" s="43"/>
      <c r="R16" s="45"/>
      <c r="S16" s="46"/>
      <c r="T16" s="47"/>
      <c r="U16" s="48"/>
      <c r="V16" s="49"/>
      <c r="W16" s="56"/>
      <c r="X16" s="49" t="s">
        <v>47</v>
      </c>
    </row>
    <row r="17" spans="1:24" s="66" customFormat="1" ht="12" customHeight="1" outlineLevel="1">
      <c r="A17" s="61">
        <v>4</v>
      </c>
      <c r="B17" s="61"/>
      <c r="C17" s="92"/>
      <c r="D17" s="58">
        <v>1.2</v>
      </c>
      <c r="E17" s="54" t="s">
        <v>39</v>
      </c>
      <c r="F17" s="61"/>
      <c r="G17" s="61"/>
      <c r="H17" s="43"/>
      <c r="I17" s="43"/>
      <c r="J17" s="44"/>
      <c r="K17" s="60"/>
      <c r="L17" s="43"/>
      <c r="M17" s="45"/>
      <c r="N17" s="46"/>
      <c r="O17" s="47"/>
      <c r="P17" s="48"/>
      <c r="Q17" s="43"/>
      <c r="R17" s="45"/>
      <c r="S17" s="46"/>
      <c r="T17" s="47"/>
      <c r="U17" s="48"/>
      <c r="V17" s="49"/>
      <c r="W17" s="56"/>
      <c r="X17" s="49" t="s">
        <v>49</v>
      </c>
    </row>
    <row r="18" spans="1:24" s="66" customFormat="1" ht="12" customHeight="1" outlineLevel="1">
      <c r="A18" s="61">
        <v>5</v>
      </c>
      <c r="B18" s="61"/>
      <c r="C18" s="92"/>
      <c r="D18" s="52" t="s">
        <v>26</v>
      </c>
      <c r="E18" s="67" t="s">
        <v>52</v>
      </c>
      <c r="F18" s="61"/>
      <c r="G18" s="61"/>
      <c r="H18" s="43">
        <v>44110</v>
      </c>
      <c r="I18" s="43">
        <v>44118</v>
      </c>
      <c r="J18" s="44">
        <f>7*7</f>
        <v>49</v>
      </c>
      <c r="K18" s="44"/>
      <c r="L18" s="45"/>
      <c r="M18" s="43"/>
      <c r="N18" s="46"/>
      <c r="O18" s="47"/>
      <c r="P18" s="48"/>
      <c r="Q18" s="45"/>
      <c r="R18" s="43"/>
      <c r="S18" s="46"/>
      <c r="T18" s="47"/>
      <c r="U18" s="48"/>
      <c r="V18" s="49"/>
      <c r="W18" s="50"/>
      <c r="X18" s="49"/>
    </row>
    <row r="19" spans="1:24" ht="12" customHeight="1">
      <c r="A19" s="29" t="s">
        <v>32</v>
      </c>
      <c r="B19" s="57"/>
      <c r="C19" s="30"/>
      <c r="D19" s="30"/>
      <c r="E19" s="31"/>
      <c r="F19" s="32"/>
      <c r="G19" s="32"/>
      <c r="H19" s="33"/>
      <c r="I19" s="34"/>
      <c r="J19" s="35"/>
      <c r="K19" s="35"/>
      <c r="L19" s="64"/>
      <c r="M19" s="64"/>
      <c r="N19" s="37"/>
      <c r="O19" s="38"/>
      <c r="P19" s="39"/>
      <c r="Q19" s="64"/>
      <c r="R19" s="64"/>
      <c r="S19" s="37"/>
      <c r="T19" s="38"/>
      <c r="U19" s="39"/>
      <c r="V19" s="40"/>
      <c r="W19" s="40"/>
      <c r="X19" s="41"/>
    </row>
    <row r="20" spans="1:24" ht="12" customHeight="1" outlineLevel="1">
      <c r="A20" s="61">
        <v>1</v>
      </c>
      <c r="B20" s="54" t="s">
        <v>29</v>
      </c>
      <c r="C20" s="91" t="s">
        <v>54</v>
      </c>
      <c r="D20" s="58">
        <v>1.1000000000000001</v>
      </c>
      <c r="E20" s="54" t="s">
        <v>36</v>
      </c>
      <c r="F20" s="61"/>
      <c r="G20" s="55"/>
      <c r="H20" s="43"/>
      <c r="I20" s="43"/>
      <c r="J20" s="44"/>
      <c r="K20" s="44"/>
      <c r="L20" s="63"/>
      <c r="M20" s="63"/>
      <c r="N20" s="46"/>
      <c r="O20" s="47"/>
      <c r="P20" s="48"/>
      <c r="Q20" s="63"/>
      <c r="R20" s="63"/>
      <c r="S20" s="46"/>
      <c r="T20" s="47"/>
      <c r="U20" s="48"/>
      <c r="V20" s="49"/>
      <c r="W20" s="50"/>
      <c r="X20" s="51"/>
    </row>
    <row r="21" spans="1:24" ht="12" customHeight="1" outlineLevel="1">
      <c r="A21" s="61">
        <v>2</v>
      </c>
      <c r="B21" s="55"/>
      <c r="C21" s="92"/>
      <c r="D21" s="52" t="s">
        <v>23</v>
      </c>
      <c r="E21" s="67" t="s">
        <v>56</v>
      </c>
      <c r="F21" s="61"/>
      <c r="G21" s="55"/>
      <c r="H21" s="43">
        <v>44119</v>
      </c>
      <c r="I21" s="43">
        <v>44127</v>
      </c>
      <c r="J21" s="44">
        <f>7*7</f>
        <v>49</v>
      </c>
      <c r="K21" s="44"/>
      <c r="L21" s="63"/>
      <c r="M21" s="63"/>
      <c r="N21" s="46"/>
      <c r="O21" s="47"/>
      <c r="P21" s="48"/>
      <c r="Q21" s="63"/>
      <c r="R21" s="63"/>
      <c r="S21" s="46"/>
      <c r="T21" s="47"/>
      <c r="U21" s="48"/>
      <c r="V21" s="49" t="s">
        <v>72</v>
      </c>
      <c r="W21" s="50"/>
      <c r="X21" s="49" t="s">
        <v>58</v>
      </c>
    </row>
    <row r="22" spans="1:24" s="66" customFormat="1" ht="12" customHeight="1" outlineLevel="1">
      <c r="A22" s="61">
        <v>3</v>
      </c>
      <c r="B22" s="61"/>
      <c r="C22" s="92"/>
      <c r="D22" s="52" t="s">
        <v>24</v>
      </c>
      <c r="E22" s="67" t="s">
        <v>55</v>
      </c>
      <c r="F22" s="61"/>
      <c r="G22" s="61"/>
      <c r="H22" s="43">
        <v>44119</v>
      </c>
      <c r="I22" s="43">
        <v>44127</v>
      </c>
      <c r="J22" s="44">
        <f>7*7</f>
        <v>49</v>
      </c>
      <c r="K22" s="44"/>
      <c r="L22" s="63"/>
      <c r="M22" s="63"/>
      <c r="N22" s="46"/>
      <c r="O22" s="47"/>
      <c r="P22" s="48"/>
      <c r="Q22" s="63"/>
      <c r="R22" s="63"/>
      <c r="S22" s="46"/>
      <c r="T22" s="47"/>
      <c r="U22" s="48"/>
      <c r="V22" s="49"/>
      <c r="W22" s="50"/>
      <c r="X22" s="51"/>
    </row>
    <row r="23" spans="1:24" s="66" customFormat="1" ht="12" customHeight="1" outlineLevel="1">
      <c r="A23" s="61">
        <v>4</v>
      </c>
      <c r="B23" s="61"/>
      <c r="C23" s="92"/>
      <c r="D23" s="58">
        <v>1.2</v>
      </c>
      <c r="E23" s="54" t="s">
        <v>39</v>
      </c>
      <c r="F23" s="61"/>
      <c r="G23" s="61"/>
      <c r="H23" s="43"/>
      <c r="I23" s="43"/>
      <c r="J23" s="44"/>
      <c r="K23" s="44"/>
      <c r="L23" s="63"/>
      <c r="M23" s="63"/>
      <c r="N23" s="46"/>
      <c r="O23" s="47"/>
      <c r="P23" s="48"/>
      <c r="Q23" s="63"/>
      <c r="R23" s="63"/>
      <c r="S23" s="46"/>
      <c r="T23" s="47"/>
      <c r="U23" s="48"/>
      <c r="V23" s="49"/>
      <c r="W23" s="50"/>
      <c r="X23" s="51"/>
    </row>
    <row r="24" spans="1:24" s="66" customFormat="1" ht="12" customHeight="1" outlineLevel="1">
      <c r="A24" s="61">
        <v>5</v>
      </c>
      <c r="B24" s="61"/>
      <c r="C24" s="92"/>
      <c r="D24" s="52" t="s">
        <v>26</v>
      </c>
      <c r="E24" s="67" t="s">
        <v>57</v>
      </c>
      <c r="F24" s="61"/>
      <c r="G24" s="61"/>
      <c r="H24" s="43">
        <v>44119</v>
      </c>
      <c r="I24" s="43">
        <v>44127</v>
      </c>
      <c r="J24" s="44">
        <f>7*7</f>
        <v>49</v>
      </c>
      <c r="K24" s="44"/>
      <c r="L24" s="63"/>
      <c r="M24" s="63"/>
      <c r="N24" s="46"/>
      <c r="O24" s="47"/>
      <c r="P24" s="48"/>
      <c r="Q24" s="63"/>
      <c r="R24" s="63"/>
      <c r="S24" s="46"/>
      <c r="T24" s="47"/>
      <c r="U24" s="48"/>
      <c r="V24" s="49"/>
      <c r="W24" s="50"/>
      <c r="X24" s="51"/>
    </row>
    <row r="25" spans="1:24" s="66" customFormat="1" ht="12" customHeight="1" outlineLevel="1">
      <c r="A25" s="61">
        <v>6</v>
      </c>
      <c r="B25" s="69" t="s">
        <v>30</v>
      </c>
      <c r="C25" s="93" t="s">
        <v>75</v>
      </c>
      <c r="D25" s="70">
        <v>1.3</v>
      </c>
      <c r="E25" s="69" t="s">
        <v>36</v>
      </c>
      <c r="F25" s="68"/>
      <c r="G25" s="68"/>
      <c r="H25" s="71"/>
      <c r="I25" s="71"/>
      <c r="J25" s="72"/>
      <c r="K25" s="72"/>
      <c r="L25" s="81"/>
      <c r="M25" s="81"/>
      <c r="N25" s="73"/>
      <c r="O25" s="74"/>
      <c r="P25" s="75"/>
      <c r="Q25" s="81"/>
      <c r="R25" s="81"/>
      <c r="S25" s="73"/>
      <c r="T25" s="74"/>
      <c r="U25" s="75"/>
      <c r="V25" s="76"/>
      <c r="W25" s="82"/>
      <c r="X25" s="78"/>
    </row>
    <row r="26" spans="1:24" s="66" customFormat="1" ht="12" customHeight="1" outlineLevel="1">
      <c r="A26" s="61">
        <v>7</v>
      </c>
      <c r="B26" s="68"/>
      <c r="C26" s="93"/>
      <c r="D26" s="79" t="s">
        <v>44</v>
      </c>
      <c r="E26" s="80" t="s">
        <v>76</v>
      </c>
      <c r="F26" s="68"/>
      <c r="G26" s="68"/>
      <c r="H26" s="71">
        <v>44119</v>
      </c>
      <c r="I26" s="71">
        <v>44127</v>
      </c>
      <c r="J26" s="72">
        <f>7*7</f>
        <v>49</v>
      </c>
      <c r="K26" s="72"/>
      <c r="L26" s="81"/>
      <c r="M26" s="81"/>
      <c r="N26" s="73"/>
      <c r="O26" s="74"/>
      <c r="P26" s="75"/>
      <c r="Q26" s="81"/>
      <c r="R26" s="81"/>
      <c r="S26" s="73"/>
      <c r="T26" s="74"/>
      <c r="U26" s="75"/>
      <c r="V26" s="76" t="s">
        <v>77</v>
      </c>
      <c r="W26" s="82"/>
      <c r="X26" s="78"/>
    </row>
    <row r="27" spans="1:24" ht="12" customHeight="1">
      <c r="A27" s="29" t="s">
        <v>33</v>
      </c>
      <c r="B27" s="57"/>
      <c r="C27" s="30"/>
      <c r="D27" s="30"/>
      <c r="E27" s="31"/>
      <c r="F27" s="32"/>
      <c r="G27" s="32"/>
      <c r="H27" s="33"/>
      <c r="I27" s="34"/>
      <c r="J27" s="35"/>
      <c r="K27" s="35"/>
      <c r="L27" s="64"/>
      <c r="M27" s="64"/>
      <c r="N27" s="37"/>
      <c r="O27" s="38"/>
      <c r="P27" s="39"/>
      <c r="Q27" s="64"/>
      <c r="R27" s="64"/>
      <c r="S27" s="37"/>
      <c r="T27" s="38"/>
      <c r="U27" s="39"/>
      <c r="V27" s="40"/>
      <c r="W27" s="40"/>
      <c r="X27" s="41"/>
    </row>
    <row r="28" spans="1:24" ht="12" customHeight="1" outlineLevel="1">
      <c r="A28" s="61">
        <v>1</v>
      </c>
      <c r="B28" s="54" t="s">
        <v>29</v>
      </c>
      <c r="C28" s="91" t="s">
        <v>64</v>
      </c>
      <c r="D28" s="58">
        <v>1.1000000000000001</v>
      </c>
      <c r="E28" s="54" t="s">
        <v>36</v>
      </c>
      <c r="F28" s="61"/>
      <c r="G28" s="61"/>
      <c r="H28" s="43"/>
      <c r="I28" s="43"/>
      <c r="J28" s="44"/>
      <c r="K28" s="44"/>
      <c r="L28" s="63"/>
      <c r="M28" s="63"/>
      <c r="N28" s="46"/>
      <c r="O28" s="47"/>
      <c r="P28" s="48"/>
      <c r="Q28" s="63"/>
      <c r="R28" s="63"/>
      <c r="S28" s="46"/>
      <c r="T28" s="47"/>
      <c r="U28" s="48"/>
      <c r="V28" s="49"/>
      <c r="W28" s="50"/>
      <c r="X28" s="51"/>
    </row>
    <row r="29" spans="1:24" ht="12" customHeight="1" outlineLevel="1">
      <c r="A29" s="61">
        <v>2</v>
      </c>
      <c r="B29" s="61"/>
      <c r="C29" s="91"/>
      <c r="D29" s="52" t="s">
        <v>23</v>
      </c>
      <c r="E29" s="67" t="s">
        <v>61</v>
      </c>
      <c r="F29" s="61"/>
      <c r="G29" s="61"/>
      <c r="H29" s="43">
        <v>44130</v>
      </c>
      <c r="I29" s="43">
        <v>44134</v>
      </c>
      <c r="J29" s="44">
        <f>7*5</f>
        <v>35</v>
      </c>
      <c r="K29" s="44"/>
      <c r="L29" s="63"/>
      <c r="M29" s="63"/>
      <c r="N29" s="46"/>
      <c r="O29" s="47"/>
      <c r="P29" s="48"/>
      <c r="Q29" s="63"/>
      <c r="R29" s="63"/>
      <c r="S29" s="46"/>
      <c r="T29" s="47"/>
      <c r="U29" s="48"/>
      <c r="V29" s="49" t="s">
        <v>69</v>
      </c>
      <c r="W29" s="50"/>
      <c r="X29" s="51"/>
    </row>
    <row r="30" spans="1:24" s="66" customFormat="1" ht="12" customHeight="1" outlineLevel="1">
      <c r="A30" s="61">
        <v>3</v>
      </c>
      <c r="B30" s="61"/>
      <c r="C30" s="91"/>
      <c r="D30" s="52" t="s">
        <v>24</v>
      </c>
      <c r="E30" s="67" t="s">
        <v>60</v>
      </c>
      <c r="F30" s="61"/>
      <c r="G30" s="61"/>
      <c r="H30" s="43">
        <v>44130</v>
      </c>
      <c r="I30" s="43">
        <v>44134</v>
      </c>
      <c r="J30" s="44">
        <f>7*5</f>
        <v>35</v>
      </c>
      <c r="K30" s="44"/>
      <c r="L30" s="63"/>
      <c r="M30" s="63"/>
      <c r="N30" s="46"/>
      <c r="O30" s="47"/>
      <c r="P30" s="48"/>
      <c r="Q30" s="63"/>
      <c r="R30" s="63"/>
      <c r="S30" s="46"/>
      <c r="T30" s="47"/>
      <c r="U30" s="48"/>
      <c r="V30" s="49" t="s">
        <v>73</v>
      </c>
      <c r="W30" s="50"/>
      <c r="X30" s="49" t="s">
        <v>70</v>
      </c>
    </row>
    <row r="31" spans="1:24" ht="12" customHeight="1" outlineLevel="1">
      <c r="A31" s="61">
        <v>2</v>
      </c>
      <c r="B31" s="61"/>
      <c r="C31" s="91"/>
      <c r="D31" s="52" t="s">
        <v>23</v>
      </c>
      <c r="E31" s="67" t="s">
        <v>63</v>
      </c>
      <c r="F31" s="61"/>
      <c r="G31" s="61"/>
      <c r="H31" s="43">
        <v>44137</v>
      </c>
      <c r="I31" s="43">
        <v>44144</v>
      </c>
      <c r="J31" s="44">
        <f>7*6</f>
        <v>42</v>
      </c>
      <c r="K31" s="44"/>
      <c r="L31" s="63"/>
      <c r="M31" s="63"/>
      <c r="N31" s="46"/>
      <c r="O31" s="47"/>
      <c r="P31" s="48"/>
      <c r="Q31" s="63"/>
      <c r="R31" s="63"/>
      <c r="S31" s="46"/>
      <c r="T31" s="47"/>
      <c r="U31" s="48"/>
      <c r="V31" s="49"/>
      <c r="W31" s="50"/>
      <c r="X31" s="49" t="s">
        <v>59</v>
      </c>
    </row>
    <row r="32" spans="1:24" s="66" customFormat="1" ht="12" customHeight="1" outlineLevel="1">
      <c r="A32" s="61">
        <v>4</v>
      </c>
      <c r="B32" s="61"/>
      <c r="C32" s="92"/>
      <c r="D32" s="58">
        <v>1.2</v>
      </c>
      <c r="E32" s="54" t="s">
        <v>39</v>
      </c>
      <c r="F32" s="61"/>
      <c r="G32" s="61"/>
      <c r="H32" s="43"/>
      <c r="I32" s="43"/>
      <c r="J32" s="44"/>
      <c r="K32" s="44"/>
      <c r="L32" s="63"/>
      <c r="M32" s="63"/>
      <c r="N32" s="46"/>
      <c r="O32" s="47"/>
      <c r="P32" s="48"/>
      <c r="Q32" s="63"/>
      <c r="R32" s="63"/>
      <c r="S32" s="46"/>
      <c r="T32" s="47"/>
      <c r="U32" s="48"/>
      <c r="V32" s="49"/>
      <c r="W32" s="50"/>
      <c r="X32" s="51"/>
    </row>
    <row r="33" spans="1:24" s="66" customFormat="1" ht="12" customHeight="1" outlineLevel="1">
      <c r="A33" s="61">
        <v>5</v>
      </c>
      <c r="B33" s="61"/>
      <c r="C33" s="92"/>
      <c r="D33" s="52" t="s">
        <v>26</v>
      </c>
      <c r="E33" s="67" t="s">
        <v>62</v>
      </c>
      <c r="F33" s="61"/>
      <c r="G33" s="61"/>
      <c r="H33" s="43">
        <v>44144</v>
      </c>
      <c r="I33" s="43">
        <v>44151</v>
      </c>
      <c r="J33" s="44">
        <f>7*6</f>
        <v>42</v>
      </c>
      <c r="K33" s="44"/>
      <c r="L33" s="63"/>
      <c r="M33" s="63"/>
      <c r="N33" s="46"/>
      <c r="O33" s="47"/>
      <c r="P33" s="48"/>
      <c r="Q33" s="63"/>
      <c r="R33" s="63"/>
      <c r="S33" s="46"/>
      <c r="T33" s="47"/>
      <c r="U33" s="48"/>
      <c r="V33" s="49"/>
      <c r="W33" s="50"/>
      <c r="X33" s="51"/>
    </row>
    <row r="34" spans="1:24" s="66" customFormat="1" ht="12" customHeight="1" outlineLevel="1">
      <c r="A34" s="61">
        <v>6</v>
      </c>
      <c r="B34" s="69" t="s">
        <v>30</v>
      </c>
      <c r="C34" s="93" t="s">
        <v>65</v>
      </c>
      <c r="D34" s="70">
        <v>1.3</v>
      </c>
      <c r="E34" s="69" t="s">
        <v>36</v>
      </c>
      <c r="F34" s="68"/>
      <c r="G34" s="68"/>
      <c r="H34" s="71"/>
      <c r="I34" s="71"/>
      <c r="J34" s="72"/>
      <c r="K34" s="72"/>
      <c r="L34" s="81"/>
      <c r="M34" s="81"/>
      <c r="N34" s="73"/>
      <c r="O34" s="74"/>
      <c r="P34" s="75"/>
      <c r="Q34" s="81"/>
      <c r="R34" s="81"/>
      <c r="S34" s="73"/>
      <c r="T34" s="74"/>
      <c r="U34" s="75"/>
      <c r="V34" s="76"/>
      <c r="W34" s="82"/>
      <c r="X34" s="78"/>
    </row>
    <row r="35" spans="1:24" s="66" customFormat="1" ht="12" customHeight="1" outlineLevel="1">
      <c r="A35" s="61">
        <v>7</v>
      </c>
      <c r="B35" s="68"/>
      <c r="C35" s="93"/>
      <c r="D35" s="79" t="s">
        <v>44</v>
      </c>
      <c r="E35" s="80" t="s">
        <v>66</v>
      </c>
      <c r="F35" s="68"/>
      <c r="G35" s="68"/>
      <c r="H35" s="71">
        <v>44151</v>
      </c>
      <c r="I35" s="71">
        <v>44161</v>
      </c>
      <c r="J35" s="72">
        <f>7*9</f>
        <v>63</v>
      </c>
      <c r="K35" s="72"/>
      <c r="L35" s="81"/>
      <c r="M35" s="81"/>
      <c r="N35" s="73"/>
      <c r="O35" s="74"/>
      <c r="P35" s="75"/>
      <c r="Q35" s="81"/>
      <c r="R35" s="81"/>
      <c r="S35" s="73"/>
      <c r="T35" s="74"/>
      <c r="U35" s="75"/>
      <c r="V35" s="76" t="s">
        <v>67</v>
      </c>
      <c r="W35" s="82"/>
      <c r="X35" s="78"/>
    </row>
    <row r="1046138" spans="1:24">
      <c r="A1046138" s="12"/>
      <c r="B1046138" s="12"/>
      <c r="C1046138" s="12"/>
      <c r="D1046138" s="12"/>
      <c r="F1046138" s="12"/>
      <c r="G1046138" s="12"/>
      <c r="H1046138" s="12"/>
      <c r="I1046138" s="12"/>
      <c r="J1046138" s="13"/>
      <c r="K1046138" s="13"/>
      <c r="L1046138" s="21"/>
      <c r="M1046138" s="21"/>
      <c r="N1046138" s="12"/>
      <c r="O1046138" s="21"/>
      <c r="P1046138" s="17"/>
      <c r="Q1046138" s="21"/>
      <c r="R1046138" s="21"/>
      <c r="S1046138" s="12"/>
      <c r="T1046138" s="21"/>
      <c r="U1046138" s="17"/>
      <c r="V1046138" s="19"/>
      <c r="W1046138" s="19"/>
      <c r="X1046138" s="20"/>
    </row>
    <row r="1046140" spans="1:24">
      <c r="A1046140" s="12"/>
      <c r="B1046140" s="12"/>
      <c r="C1046140" s="12"/>
      <c r="D1046140" s="12"/>
      <c r="F1046140" s="12"/>
      <c r="G1046140" s="12"/>
      <c r="H1046140" s="12"/>
      <c r="I1046140" s="12"/>
      <c r="J1046140" s="13"/>
      <c r="K1046140" s="13"/>
      <c r="L1046140" s="21"/>
      <c r="M1046140" s="21"/>
      <c r="N1046140" s="12"/>
      <c r="O1046140" s="21"/>
      <c r="P1046140" s="17"/>
      <c r="Q1046140" s="21"/>
      <c r="R1046140" s="21"/>
      <c r="S1046140" s="12"/>
      <c r="T1046140" s="21"/>
      <c r="U1046140" s="17"/>
      <c r="V1046140" s="19"/>
      <c r="W1046140" s="19"/>
      <c r="X1046140" s="20"/>
    </row>
    <row r="1046150" spans="1:24">
      <c r="A1046150" s="12"/>
      <c r="B1046150" s="12"/>
      <c r="C1046150" s="12"/>
      <c r="D1046150" s="12"/>
      <c r="F1046150" s="12"/>
      <c r="G1046150" s="12"/>
      <c r="H1046150" s="12"/>
      <c r="I1046150" s="12"/>
      <c r="J1046150" s="13"/>
      <c r="K1046150" s="13"/>
      <c r="L1046150" s="21"/>
      <c r="M1046150" s="21"/>
      <c r="N1046150" s="12"/>
      <c r="O1046150" s="21"/>
      <c r="P1046150" s="17"/>
      <c r="Q1046150" s="21"/>
      <c r="R1046150" s="21"/>
      <c r="S1046150" s="12"/>
      <c r="T1046150" s="21"/>
      <c r="U1046150" s="17"/>
      <c r="V1046150" s="19"/>
      <c r="W1046150" s="19"/>
      <c r="X1046150" s="20"/>
    </row>
    <row r="1046177" spans="1:24">
      <c r="A1046177" s="12"/>
      <c r="B1046177" s="12"/>
      <c r="C1046177" s="12"/>
      <c r="D1046177" s="12"/>
      <c r="F1046177" s="12"/>
      <c r="G1046177" s="12"/>
      <c r="H1046177" s="12"/>
      <c r="I1046177" s="12"/>
      <c r="J1046177" s="13"/>
      <c r="K1046177" s="13"/>
      <c r="L1046177" s="21"/>
      <c r="M1046177" s="21"/>
      <c r="N1046177" s="12"/>
      <c r="O1046177" s="21"/>
      <c r="P1046177" s="17"/>
      <c r="Q1046177" s="21"/>
      <c r="R1046177" s="21"/>
      <c r="S1046177" s="12"/>
      <c r="T1046177" s="21"/>
      <c r="U1046177" s="17"/>
      <c r="V1046177" s="19"/>
      <c r="W1046177" s="19"/>
      <c r="X1046177" s="20"/>
    </row>
    <row r="1046180" spans="1:24">
      <c r="A1046180" s="12"/>
      <c r="B1046180" s="12"/>
      <c r="C1046180" s="12"/>
      <c r="D1046180" s="12"/>
      <c r="F1046180" s="12"/>
      <c r="G1046180" s="12"/>
      <c r="H1046180" s="12"/>
      <c r="I1046180" s="12"/>
      <c r="J1046180" s="13"/>
      <c r="K1046180" s="13"/>
      <c r="L1046180" s="21"/>
      <c r="M1046180" s="21"/>
      <c r="N1046180" s="12"/>
      <c r="O1046180" s="21"/>
      <c r="P1046180" s="17"/>
      <c r="Q1046180" s="21"/>
      <c r="R1046180" s="21"/>
      <c r="S1046180" s="12"/>
      <c r="T1046180" s="21"/>
      <c r="U1046180" s="17"/>
      <c r="V1046180" s="19"/>
      <c r="W1046180" s="19"/>
      <c r="X1046180" s="20"/>
    </row>
    <row r="1046248" spans="1:24">
      <c r="A1046248" s="12"/>
      <c r="B1046248" s="12"/>
      <c r="C1046248" s="12"/>
      <c r="D1046248" s="12"/>
      <c r="F1046248" s="12"/>
      <c r="G1046248" s="12"/>
      <c r="H1046248" s="12"/>
      <c r="I1046248" s="12"/>
      <c r="J1046248" s="13"/>
      <c r="K1046248" s="13"/>
      <c r="L1046248" s="21"/>
      <c r="M1046248" s="21"/>
      <c r="N1046248" s="12"/>
      <c r="O1046248" s="21"/>
      <c r="P1046248" s="17"/>
      <c r="Q1046248" s="21"/>
      <c r="R1046248" s="21"/>
      <c r="S1046248" s="12"/>
      <c r="T1046248" s="21"/>
      <c r="U1046248" s="17"/>
      <c r="V1046248" s="19"/>
      <c r="W1046248" s="19"/>
      <c r="X1046248" s="20"/>
    </row>
    <row r="1046259" spans="1:24">
      <c r="A1046259" s="12"/>
      <c r="B1046259" s="12"/>
      <c r="C1046259" s="12"/>
      <c r="D1046259" s="12"/>
      <c r="F1046259" s="12"/>
      <c r="G1046259" s="12"/>
      <c r="H1046259" s="12"/>
      <c r="I1046259" s="12"/>
      <c r="J1046259" s="13"/>
      <c r="K1046259" s="13"/>
      <c r="L1046259" s="21"/>
      <c r="M1046259" s="21"/>
      <c r="N1046259" s="12"/>
      <c r="O1046259" s="21"/>
      <c r="P1046259" s="17"/>
      <c r="Q1046259" s="21"/>
      <c r="R1046259" s="21"/>
      <c r="S1046259" s="12"/>
      <c r="T1046259" s="21"/>
      <c r="U1046259" s="17"/>
      <c r="V1046259" s="19"/>
      <c r="W1046259" s="19"/>
      <c r="X1046259" s="20"/>
    </row>
    <row r="1046261" spans="1:24">
      <c r="A1046261" s="12"/>
      <c r="B1046261" s="12"/>
      <c r="C1046261" s="12"/>
      <c r="D1046261" s="12"/>
      <c r="F1046261" s="12"/>
      <c r="G1046261" s="12"/>
      <c r="H1046261" s="12"/>
      <c r="I1046261" s="12"/>
      <c r="J1046261" s="13"/>
      <c r="K1046261" s="13"/>
      <c r="L1046261" s="21"/>
      <c r="M1046261" s="21"/>
      <c r="N1046261" s="12"/>
      <c r="O1046261" s="21"/>
      <c r="P1046261" s="17"/>
      <c r="Q1046261" s="21"/>
      <c r="R1046261" s="21"/>
      <c r="S1046261" s="12"/>
      <c r="T1046261" s="21"/>
      <c r="U1046261" s="17"/>
      <c r="V1046261" s="19"/>
      <c r="W1046261" s="19"/>
      <c r="X1046261" s="20"/>
    </row>
    <row r="1046266" spans="1:24">
      <c r="A1046266" s="12"/>
      <c r="B1046266" s="12"/>
      <c r="C1046266" s="12"/>
      <c r="D1046266" s="12"/>
      <c r="F1046266" s="12"/>
      <c r="G1046266" s="12"/>
      <c r="H1046266" s="12"/>
      <c r="I1046266" s="12"/>
      <c r="J1046266" s="13"/>
      <c r="K1046266" s="13"/>
      <c r="L1046266" s="21"/>
      <c r="M1046266" s="21"/>
      <c r="N1046266" s="12"/>
      <c r="O1046266" s="21"/>
      <c r="P1046266" s="17"/>
      <c r="Q1046266" s="21"/>
      <c r="R1046266" s="21"/>
      <c r="S1046266" s="12"/>
      <c r="T1046266" s="21"/>
      <c r="U1046266" s="17"/>
      <c r="V1046266" s="19"/>
      <c r="W1046266" s="19"/>
      <c r="X1046266" s="20"/>
    </row>
  </sheetData>
  <sheetProtection formatColumns="0" autoFilter="0"/>
  <protectedRanges>
    <protectedRange algorithmName="SHA-512" hashValue="EtFQQ/XpNVFoGFClzZ5WyrxwNbEL9Ok+mPacrNrK1Nne+lMXqUj5AT+5iQDJ5N6MC/EGfW19gfh/Cht7np0RjA==" saltValue="PNfdZczTV0SVwmFTqJ7kPQ==" spinCount="100000" sqref="K3:N3 A27:N27 F1:N2 A1:E5 F19:N19 B6:E8 H3:I3 F25:G26 A6:A12 A19:E26 F34:G35 A28:E35 H20:N26 H28:N35 A13:N18 B9:N12 F4:G8 N4:N8 H4:M6 H8:M8 I7:M7 O1:X35" name="All" securityDescriptor="O:WDG:WDD:(A;;CC;;;S-1-5-21-2856633852-605421536-4035018569-17173)(A;;CC;;;S-1-5-21-2856633852-605421536-4035018569-1134)"/>
    <protectedRange algorithmName="SHA-512" hashValue="EtFQQ/XpNVFoGFClzZ5WyrxwNbEL9Ok+mPacrNrK1Nne+lMXqUj5AT+5iQDJ5N6MC/EGfW19gfh/Cht7np0RjA==" saltValue="PNfdZczTV0SVwmFTqJ7kPQ==" spinCount="100000" sqref="F20:G24 F28:G33" name="All_4" securityDescriptor="O:WDG:WDD:(A;;CC;;;S-1-5-21-2856633852-605421536-4035018569-17173)(A;;CC;;;S-1-5-21-2856633852-605421536-4035018569-1134)"/>
    <protectedRange algorithmName="SHA-512" hashValue="EtFQQ/XpNVFoGFClzZ5WyrxwNbEL9Ok+mPacrNrK1Nne+lMXqUj5AT+5iQDJ5N6MC/EGfW19gfh/Cht7np0RjA==" saltValue="PNfdZczTV0SVwmFTqJ7kPQ==" spinCount="100000" sqref="J3" name="All_14" securityDescriptor="O:WDG:WDD:(A;;CC;;;S-1-5-21-2856633852-605421536-4035018569-17173)(A;;CC;;;S-1-5-21-2856633852-605421536-4035018569-1134)"/>
    <protectedRange algorithmName="SHA-512" hashValue="EtFQQ/XpNVFoGFClzZ5WyrxwNbEL9Ok+mPacrNrK1Nne+lMXqUj5AT+5iQDJ5N6MC/EGfW19gfh/Cht7np0RjA==" saltValue="PNfdZczTV0SVwmFTqJ7kPQ==" spinCount="100000" sqref="F3:G3" name="All_15" securityDescriptor="O:WDG:WDD:(A;;CC;;;S-1-5-21-2856633852-605421536-4035018569-17173)(A;;CC;;;S-1-5-21-2856633852-605421536-4035018569-1134)"/>
  </protectedRanges>
  <autoFilter ref="A3:X28"/>
  <mergeCells count="11">
    <mergeCell ref="L1:U1"/>
    <mergeCell ref="L2:P2"/>
    <mergeCell ref="Q2:U2"/>
    <mergeCell ref="C5:C10"/>
    <mergeCell ref="C11:C12"/>
    <mergeCell ref="C20:C24"/>
    <mergeCell ref="C25:C26"/>
    <mergeCell ref="C28:C33"/>
    <mergeCell ref="C34:C35"/>
    <mergeCell ref="H1:J2"/>
    <mergeCell ref="C14:C18"/>
  </mergeCells>
  <phoneticPr fontId="10"/>
  <conditionalFormatting sqref="D20">
    <cfRule type="expression" dxfId="100" priority="22665">
      <formula>IF(AND(NOT(ISBLANK(#REF!)),NOW()&gt;#REF!,OR(#REF!="On-going",#REF!="New")),TRUE,FALSE)</formula>
    </cfRule>
  </conditionalFormatting>
  <conditionalFormatting sqref="C27:E27 A4:C5 G27:N27 D11:N11 D10:E10 A13:N13 A19:N19 A20 A21:B27 D20:D22 D21:E22 F20:G21 F25:I25 F24:G24 F26:G26 W26:X26 J20:N20 A32:B35 F32:N32 F22:I23 W32:X32 K21:N26 G4:N5 G9:G10 W9:X9 K9:K10 M9:N10 F12:G12 K12:N12 D14:E17 G14:N17 G18 A15:B18 W18 K18:N18 D28 F34:N34 F33:G33 F35:G35 J35:N35 K33:N33 W35:X35 J28:N29 F28:G29 D29:E30 F30:N30 J31:N31 D31:G31 J21:J23 T30:W31 T35:U35 T33:X34 T18:U18 T15:W17 T9:U9 T4:X5 T32:U32 T26:U26 T19:X25 T10:X14 T27:X29 G8:N8 S6:W6 R9:S10 Q11:S35 Q8:S8 A6:A12 G6:K6 I7:K7 M7 G7 N6:N7 D4:F8 B6:B11 T7:X8 R7:S7 L6:L7 Q6:Q7 O4:P35">
    <cfRule type="expression" dxfId="99" priority="22689">
      <formula>IF(AND(NOT(ISBLANK($I4)),NOW()&gt;$I4,OR($T4="On-going",$T4="New")),TRUE,FALSE)</formula>
    </cfRule>
  </conditionalFormatting>
  <conditionalFormatting sqref="F27">
    <cfRule type="expression" dxfId="98" priority="137">
      <formula>IF(AND(NOT(ISBLANK($I27)),NOW()&gt;$I27,OR($T27="On-going",$T27="New")),TRUE,FALSE)</formula>
    </cfRule>
  </conditionalFormatting>
  <conditionalFormatting sqref="H12">
    <cfRule type="expression" dxfId="97" priority="124">
      <formula>IF(AND(NOT(ISBLANK($I12)),NOW()&gt;$I12,OR($T12="On-going",$T12="New")),TRUE,FALSE)</formula>
    </cfRule>
  </conditionalFormatting>
  <conditionalFormatting sqref="D9:E9">
    <cfRule type="expression" dxfId="96" priority="134">
      <formula>IF(AND(NOT(ISBLANK($I9)),NOW()&gt;$I9,OR($T9="On-going",$T9="New")),TRUE,FALSE)</formula>
    </cfRule>
  </conditionalFormatting>
  <conditionalFormatting sqref="I9:I10">
    <cfRule type="expression" dxfId="95" priority="128">
      <formula>IF(AND(NOT(ISBLANK($I9)),NOW()&gt;$I9,OR($T9="On-going",$T9="New")),TRUE,FALSE)</formula>
    </cfRule>
  </conditionalFormatting>
  <conditionalFormatting sqref="C11">
    <cfRule type="expression" dxfId="94" priority="132">
      <formula>IF(AND(NOT(ISBLANK($I11)),NOW()&gt;$I11,OR($T11="On-going",$T11="New")),TRUE,FALSE)</formula>
    </cfRule>
  </conditionalFormatting>
  <conditionalFormatting sqref="B12">
    <cfRule type="expression" dxfId="93" priority="131">
      <formula>IF(AND(NOT(ISBLANK($I12)),NOW()&gt;$I12,OR($T12="On-going",$T12="New")),TRUE,FALSE)</formula>
    </cfRule>
  </conditionalFormatting>
  <conditionalFormatting sqref="H9:H10">
    <cfRule type="expression" dxfId="92" priority="129">
      <formula>IF(AND(NOT(ISBLANK($I9)),NOW()&gt;$I9,OR($T9="On-going",$T9="New")),TRUE,FALSE)</formula>
    </cfRule>
  </conditionalFormatting>
  <conditionalFormatting sqref="E12">
    <cfRule type="expression" dxfId="91" priority="127">
      <formula>IF(AND(NOT(ISBLANK($I12)),NOW()&gt;$I12,OR($T12="On-going",$T12="New")),TRUE,FALSE)</formula>
    </cfRule>
  </conditionalFormatting>
  <conditionalFormatting sqref="D12">
    <cfRule type="expression" dxfId="90" priority="126">
      <formula>IF(AND(NOT(ISBLANK($I12)),NOW()&gt;$I12,OR($T12="On-going",$T12="New")),TRUE,FALSE)</formula>
    </cfRule>
  </conditionalFormatting>
  <conditionalFormatting sqref="J12">
    <cfRule type="expression" dxfId="89" priority="122">
      <formula>IF(AND(NOT(ISBLANK($I12)),NOW()&gt;$I12,OR($T12="On-going",$T12="New")),TRUE,FALSE)</formula>
    </cfRule>
  </conditionalFormatting>
  <conditionalFormatting sqref="A14:C14">
    <cfRule type="expression" dxfId="88" priority="121">
      <formula>IF(AND(NOT(ISBLANK($I14)),NOW()&gt;$I14,OR($T14="On-going",$T14="New")),TRUE,FALSE)</formula>
    </cfRule>
  </conditionalFormatting>
  <conditionalFormatting sqref="I12">
    <cfRule type="expression" dxfId="87" priority="123">
      <formula>IF(AND(NOT(ISBLANK($I12)),NOW()&gt;$I12,OR($T12="On-going",$T12="New")),TRUE,FALSE)</formula>
    </cfRule>
  </conditionalFormatting>
  <conditionalFormatting sqref="H18">
    <cfRule type="expression" dxfId="86" priority="107">
      <formula>IF(AND(NOT(ISBLANK($I18)),NOW()&gt;$I18,OR($T18="On-going",$T18="New")),TRUE,FALSE)</formula>
    </cfRule>
  </conditionalFormatting>
  <conditionalFormatting sqref="V18">
    <cfRule type="expression" dxfId="85" priority="115">
      <formula>IF(AND(NOT(ISBLANK($I18)),NOW()&gt;$I18,OR($T18="On-going",$T18="New")),TRUE,FALSE)</formula>
    </cfRule>
  </conditionalFormatting>
  <conditionalFormatting sqref="F14:F17">
    <cfRule type="expression" dxfId="84" priority="120">
      <formula>IF(AND(NOT(ISBLANK($I14)),NOW()&gt;$I14,OR($T14="On-going",$T14="New")),TRUE,FALSE)</formula>
    </cfRule>
  </conditionalFormatting>
  <conditionalFormatting sqref="D18:E18">
    <cfRule type="expression" dxfId="83" priority="119">
      <formula>IF(AND(NOT(ISBLANK($I18)),NOW()&gt;$I18,OR($T18="On-going",$T18="New")),TRUE,FALSE)</formula>
    </cfRule>
  </conditionalFormatting>
  <conditionalFormatting sqref="F18">
    <cfRule type="expression" dxfId="82" priority="118">
      <formula>IF(AND(NOT(ISBLANK($I18)),NOW()&gt;$I18,OR($T18="On-going",$T18="New")),TRUE,FALSE)</formula>
    </cfRule>
  </conditionalFormatting>
  <conditionalFormatting sqref="E33">
    <cfRule type="expression" dxfId="81" priority="71">
      <formula>IF(AND(NOT(ISBLANK($I33)),NOW()&gt;$I33,OR($T33="On-going",$T33="New")),TRUE,FALSE)</formula>
    </cfRule>
  </conditionalFormatting>
  <conditionalFormatting sqref="C34">
    <cfRule type="expression" dxfId="80" priority="75">
      <formula>IF(AND(NOT(ISBLANK($I34)),NOW()&gt;$I34,OR($T34="On-going",$T34="New")),TRUE,FALSE)</formula>
    </cfRule>
  </conditionalFormatting>
  <conditionalFormatting sqref="C20">
    <cfRule type="expression" dxfId="79" priority="101">
      <formula>IF(AND(NOT(ISBLANK($I20)),NOW()&gt;$I20,OR($T20="On-going",$T20="New")),TRUE,FALSE)</formula>
    </cfRule>
  </conditionalFormatting>
  <conditionalFormatting sqref="B20">
    <cfRule type="expression" dxfId="78" priority="100">
      <formula>IF(AND(NOT(ISBLANK($I20)),NOW()&gt;$I20,OR($T20="On-going",$T20="New")),TRUE,FALSE)</formula>
    </cfRule>
  </conditionalFormatting>
  <conditionalFormatting sqref="C25">
    <cfRule type="expression" dxfId="77" priority="99">
      <formula>IF(AND(NOT(ISBLANK($I25)),NOW()&gt;$I25,OR($T25="On-going",$T25="New")),TRUE,FALSE)</formula>
    </cfRule>
  </conditionalFormatting>
  <conditionalFormatting sqref="E20">
    <cfRule type="expression" dxfId="76" priority="98">
      <formula>IF(AND(NOT(ISBLANK($I20)),NOW()&gt;$I20,OR($T20="On-going",$T20="New")),TRUE,FALSE)</formula>
    </cfRule>
  </conditionalFormatting>
  <conditionalFormatting sqref="H35">
    <cfRule type="expression" dxfId="75" priority="61">
      <formula>IF(AND(NOT(ISBLANK($I35)),NOW()&gt;$I35,OR($T35="On-going",$T35="New")),TRUE,FALSE)</formula>
    </cfRule>
  </conditionalFormatting>
  <conditionalFormatting sqref="D23:E23">
    <cfRule type="expression" dxfId="74" priority="96">
      <formula>IF(AND(NOT(ISBLANK($I23)),NOW()&gt;$I23,OR($T23="On-going",$T23="New")),TRUE,FALSE)</formula>
    </cfRule>
  </conditionalFormatting>
  <conditionalFormatting sqref="D24">
    <cfRule type="expression" dxfId="73" priority="95">
      <formula>IF(AND(NOT(ISBLANK($I24)),NOW()&gt;$I24,OR($T24="On-going",$T24="New")),TRUE,FALSE)</formula>
    </cfRule>
  </conditionalFormatting>
  <conditionalFormatting sqref="E24">
    <cfRule type="expression" dxfId="72" priority="94">
      <formula>IF(AND(NOT(ISBLANK($I24)),NOW()&gt;$I24,OR($T24="On-going",$T24="New")),TRUE,FALSE)</formula>
    </cfRule>
  </conditionalFormatting>
  <conditionalFormatting sqref="H20">
    <cfRule type="expression" dxfId="71" priority="93">
      <formula>IF(AND(NOT(ISBLANK($I20)),NOW()&gt;$I20,OR($T20="On-going",$T20="New")),TRUE,FALSE)</formula>
    </cfRule>
  </conditionalFormatting>
  <conditionalFormatting sqref="I18">
    <cfRule type="expression" dxfId="70" priority="92">
      <formula>IF(AND(NOT(ISBLANK($I18)),NOW()&gt;$I18,OR($T18="On-going",$T18="New")),TRUE,FALSE)</formula>
    </cfRule>
  </conditionalFormatting>
  <conditionalFormatting sqref="H21">
    <cfRule type="expression" dxfId="69" priority="91">
      <formula>IF(AND(NOT(ISBLANK($I21)),NOW()&gt;$I21,OR($T21="On-going",$T21="New")),TRUE,FALSE)</formula>
    </cfRule>
  </conditionalFormatting>
  <conditionalFormatting sqref="H24">
    <cfRule type="expression" dxfId="68" priority="90">
      <formula>IF(AND(NOT(ISBLANK($I24)),NOW()&gt;$I24,OR($T24="On-going",$T24="New")),TRUE,FALSE)</formula>
    </cfRule>
  </conditionalFormatting>
  <conditionalFormatting sqref="I20">
    <cfRule type="expression" dxfId="67" priority="89">
      <formula>IF(AND(NOT(ISBLANK($I20)),NOW()&gt;$I20,OR($T20="On-going",$T20="New")),TRUE,FALSE)</formula>
    </cfRule>
  </conditionalFormatting>
  <conditionalFormatting sqref="I21">
    <cfRule type="expression" dxfId="66" priority="88">
      <formula>IF(AND(NOT(ISBLANK($I21)),NOW()&gt;$I21,OR($T21="On-going",$T21="New")),TRUE,FALSE)</formula>
    </cfRule>
  </conditionalFormatting>
  <conditionalFormatting sqref="I24">
    <cfRule type="expression" dxfId="65" priority="87">
      <formula>IF(AND(NOT(ISBLANK($I24)),NOW()&gt;$I24,OR($T24="On-going",$T24="New")),TRUE,FALSE)</formula>
    </cfRule>
  </conditionalFormatting>
  <conditionalFormatting sqref="D25:E25">
    <cfRule type="expression" dxfId="64" priority="85">
      <formula>IF(AND(NOT(ISBLANK($I25)),NOW()&gt;$I25,OR($T25="On-going",$T25="New")),TRUE,FALSE)</formula>
    </cfRule>
  </conditionalFormatting>
  <conditionalFormatting sqref="E26">
    <cfRule type="expression" dxfId="63" priority="84">
      <formula>IF(AND(NOT(ISBLANK($I26)),NOW()&gt;$I26,OR($T26="On-going",$T26="New")),TRUE,FALSE)</formula>
    </cfRule>
  </conditionalFormatting>
  <conditionalFormatting sqref="D26">
    <cfRule type="expression" dxfId="62" priority="83">
      <formula>IF(AND(NOT(ISBLANK($I26)),NOW()&gt;$I26,OR($T26="On-going",$T26="New")),TRUE,FALSE)</formula>
    </cfRule>
  </conditionalFormatting>
  <conditionalFormatting sqref="I26">
    <cfRule type="expression" dxfId="61" priority="81">
      <formula>IF(AND(NOT(ISBLANK($I26)),NOW()&gt;$I26,OR($T26="On-going",$T26="New")),TRUE,FALSE)</formula>
    </cfRule>
  </conditionalFormatting>
  <conditionalFormatting sqref="H26">
    <cfRule type="expression" dxfId="60" priority="82">
      <formula>IF(AND(NOT(ISBLANK($I26)),NOW()&gt;$I26,OR($T26="On-going",$T26="New")),TRUE,FALSE)</formula>
    </cfRule>
  </conditionalFormatting>
  <conditionalFormatting sqref="V26">
    <cfRule type="expression" dxfId="59" priority="80">
      <formula>IF(AND(NOT(ISBLANK($I26)),NOW()&gt;$I26,OR($T26="On-going",$T26="New")),TRUE,FALSE)</formula>
    </cfRule>
  </conditionalFormatting>
  <conditionalFormatting sqref="D28">
    <cfRule type="expression" dxfId="58" priority="78">
      <formula>IF(AND(NOT(ISBLANK(#REF!)),NOW()&gt;#REF!,OR(#REF!="On-going",#REF!="New")),TRUE,FALSE)</formula>
    </cfRule>
  </conditionalFormatting>
  <conditionalFormatting sqref="A28">
    <cfRule type="expression" dxfId="57" priority="79">
      <formula>IF(AND(NOT(ISBLANK($I28)),NOW()&gt;$I28,OR($T28="On-going",$T28="New")),TRUE,FALSE)</formula>
    </cfRule>
  </conditionalFormatting>
  <conditionalFormatting sqref="C28">
    <cfRule type="expression" dxfId="56" priority="77">
      <formula>IF(AND(NOT(ISBLANK($I28)),NOW()&gt;$I28,OR($T28="On-going",$T28="New")),TRUE,FALSE)</formula>
    </cfRule>
  </conditionalFormatting>
  <conditionalFormatting sqref="B28">
    <cfRule type="expression" dxfId="55" priority="76">
      <formula>IF(AND(NOT(ISBLANK($I28)),NOW()&gt;$I28,OR($T28="On-going",$T28="New")),TRUE,FALSE)</formula>
    </cfRule>
  </conditionalFormatting>
  <conditionalFormatting sqref="D33">
    <cfRule type="expression" dxfId="54" priority="72">
      <formula>IF(AND(NOT(ISBLANK($I33)),NOW()&gt;$I33,OR($T33="On-going",$T33="New")),TRUE,FALSE)</formula>
    </cfRule>
  </conditionalFormatting>
  <conditionalFormatting sqref="E28">
    <cfRule type="expression" dxfId="53" priority="74">
      <formula>IF(AND(NOT(ISBLANK($I28)),NOW()&gt;$I28,OR($T28="On-going",$T28="New")),TRUE,FALSE)</formula>
    </cfRule>
  </conditionalFormatting>
  <conditionalFormatting sqref="D32:E32">
    <cfRule type="expression" dxfId="52" priority="73">
      <formula>IF(AND(NOT(ISBLANK($I32)),NOW()&gt;$I32,OR($T32="On-going",$T32="New")),TRUE,FALSE)</formula>
    </cfRule>
  </conditionalFormatting>
  <conditionalFormatting sqref="H28">
    <cfRule type="expression" dxfId="51" priority="70">
      <formula>IF(AND(NOT(ISBLANK($I28)),NOW()&gt;$I28,OR($T28="On-going",$T28="New")),TRUE,FALSE)</formula>
    </cfRule>
  </conditionalFormatting>
  <conditionalFormatting sqref="D35">
    <cfRule type="expression" dxfId="50" priority="62">
      <formula>IF(AND(NOT(ISBLANK($I35)),NOW()&gt;$I35,OR($T35="On-going",$T35="New")),TRUE,FALSE)</formula>
    </cfRule>
  </conditionalFormatting>
  <conditionalFormatting sqref="I28">
    <cfRule type="expression" dxfId="49" priority="67">
      <formula>IF(AND(NOT(ISBLANK($I28)),NOW()&gt;$I28,OR($T28="On-going",$T28="New")),TRUE,FALSE)</formula>
    </cfRule>
  </conditionalFormatting>
  <conditionalFormatting sqref="I33">
    <cfRule type="expression" dxfId="48" priority="65">
      <formula>IF(AND(NOT(ISBLANK($I33)),NOW()&gt;$I33,OR($T33="On-going",$T33="New")),TRUE,FALSE)</formula>
    </cfRule>
  </conditionalFormatting>
  <conditionalFormatting sqref="D34:E34">
    <cfRule type="expression" dxfId="47" priority="64">
      <formula>IF(AND(NOT(ISBLANK($I34)),NOW()&gt;$I34,OR($T34="On-going",$T34="New")),TRUE,FALSE)</formula>
    </cfRule>
  </conditionalFormatting>
  <conditionalFormatting sqref="E35">
    <cfRule type="expression" dxfId="46" priority="63">
      <formula>IF(AND(NOT(ISBLANK($I35)),NOW()&gt;$I35,OR($T35="On-going",$T35="New")),TRUE,FALSE)</formula>
    </cfRule>
  </conditionalFormatting>
  <conditionalFormatting sqref="V35">
    <cfRule type="expression" dxfId="45" priority="59">
      <formula>IF(AND(NOT(ISBLANK($I35)),NOW()&gt;$I35,OR($T35="On-going",$T35="New")),TRUE,FALSE)</formula>
    </cfRule>
  </conditionalFormatting>
  <conditionalFormatting sqref="A29:B30">
    <cfRule type="expression" dxfId="44" priority="52">
      <formula>IF(AND(NOT(ISBLANK($I29)),NOW()&gt;$I29,OR($T29="On-going",$T29="New")),TRUE,FALSE)</formula>
    </cfRule>
  </conditionalFormatting>
  <conditionalFormatting sqref="A31:B31">
    <cfRule type="expression" dxfId="43" priority="55">
      <formula>IF(AND(NOT(ISBLANK($I31)),NOW()&gt;$I31,OR($T31="On-going",$T31="New")),TRUE,FALSE)</formula>
    </cfRule>
  </conditionalFormatting>
  <conditionalFormatting sqref="H31">
    <cfRule type="expression" dxfId="42" priority="54">
      <formula>IF(AND(NOT(ISBLANK($I31)),NOW()&gt;$I31,OR($T31="On-going",$T31="New")),TRUE,FALSE)</formula>
    </cfRule>
  </conditionalFormatting>
  <conditionalFormatting sqref="H29">
    <cfRule type="expression" dxfId="41" priority="49">
      <formula>IF(AND(NOT(ISBLANK($I29)),NOW()&gt;$I29,OR($T29="On-going",$T29="New")),TRUE,FALSE)</formula>
    </cfRule>
  </conditionalFormatting>
  <conditionalFormatting sqref="I29">
    <cfRule type="expression" dxfId="40" priority="48">
      <formula>IF(AND(NOT(ISBLANK($I29)),NOW()&gt;$I29,OR($T29="On-going",$T29="New")),TRUE,FALSE)</formula>
    </cfRule>
  </conditionalFormatting>
  <conditionalFormatting sqref="H29">
    <cfRule type="expression" dxfId="39" priority="47">
      <formula>IF(AND(NOT(ISBLANK($I29)),NOW()&gt;$I29,OR($T29="On-going",$T29="New")),TRUE,FALSE)</formula>
    </cfRule>
  </conditionalFormatting>
  <conditionalFormatting sqref="I29">
    <cfRule type="expression" dxfId="38" priority="46">
      <formula>IF(AND(NOT(ISBLANK($I29)),NOW()&gt;$I29,OR($T29="On-going",$T29="New")),TRUE,FALSE)</formula>
    </cfRule>
  </conditionalFormatting>
  <conditionalFormatting sqref="H30">
    <cfRule type="expression" dxfId="37" priority="45">
      <formula>IF(AND(NOT(ISBLANK($I30)),NOW()&gt;$I30,OR($T30="On-going",$T30="New")),TRUE,FALSE)</formula>
    </cfRule>
  </conditionalFormatting>
  <conditionalFormatting sqref="I30">
    <cfRule type="expression" dxfId="36" priority="44">
      <formula>IF(AND(NOT(ISBLANK($I30)),NOW()&gt;$I30,OR($T30="On-going",$T30="New")),TRUE,FALSE)</formula>
    </cfRule>
  </conditionalFormatting>
  <conditionalFormatting sqref="H21">
    <cfRule type="expression" dxfId="35" priority="43">
      <formula>IF(AND(NOT(ISBLANK($I21)),NOW()&gt;$I21,OR($T21="On-going",$T21="New")),TRUE,FALSE)</formula>
    </cfRule>
  </conditionalFormatting>
  <conditionalFormatting sqref="H22">
    <cfRule type="expression" dxfId="34" priority="42">
      <formula>IF(AND(NOT(ISBLANK($I22)),NOW()&gt;$I22,OR($T22="On-going",$T22="New")),TRUE,FALSE)</formula>
    </cfRule>
  </conditionalFormatting>
  <conditionalFormatting sqref="I21">
    <cfRule type="expression" dxfId="33" priority="41">
      <formula>IF(AND(NOT(ISBLANK($I21)),NOW()&gt;$I21,OR($T21="On-going",$T21="New")),TRUE,FALSE)</formula>
    </cfRule>
  </conditionalFormatting>
  <conditionalFormatting sqref="I22">
    <cfRule type="expression" dxfId="32" priority="40">
      <formula>IF(AND(NOT(ISBLANK($I22)),NOW()&gt;$I22,OR($T22="On-going",$T22="New")),TRUE,FALSE)</formula>
    </cfRule>
  </conditionalFormatting>
  <conditionalFormatting sqref="I31">
    <cfRule type="expression" dxfId="31" priority="37">
      <formula>IF(AND(NOT(ISBLANK($I31)),NOW()&gt;$I31,OR($T31="On-going",$T31="New")),TRUE,FALSE)</formula>
    </cfRule>
  </conditionalFormatting>
  <conditionalFormatting sqref="H33">
    <cfRule type="expression" dxfId="30" priority="36">
      <formula>IF(AND(NOT(ISBLANK($I33)),NOW()&gt;$I33,OR($T33="On-going",$T33="New")),TRUE,FALSE)</formula>
    </cfRule>
  </conditionalFormatting>
  <conditionalFormatting sqref="I35">
    <cfRule type="expression" dxfId="29" priority="35">
      <formula>IF(AND(NOT(ISBLANK($I35)),NOW()&gt;$I35,OR($T35="On-going",$T35="New")),TRUE,FALSE)</formula>
    </cfRule>
  </conditionalFormatting>
  <conditionalFormatting sqref="J9:J10">
    <cfRule type="expression" dxfId="28" priority="34">
      <formula>IF(AND(NOT(ISBLANK($I9)),NOW()&gt;$I9,OR($T9="On-going",$T9="New")),TRUE,FALSE)</formula>
    </cfRule>
  </conditionalFormatting>
  <conditionalFormatting sqref="J18">
    <cfRule type="expression" dxfId="27" priority="33">
      <formula>IF(AND(NOT(ISBLANK($I18)),NOW()&gt;$I18,OR($T18="On-going",$T18="New")),TRUE,FALSE)</formula>
    </cfRule>
  </conditionalFormatting>
  <conditionalFormatting sqref="J25">
    <cfRule type="expression" dxfId="26" priority="32">
      <formula>IF(AND(NOT(ISBLANK($I25)),NOW()&gt;$I25,OR($T25="On-going",$T25="New")),TRUE,FALSE)</formula>
    </cfRule>
  </conditionalFormatting>
  <conditionalFormatting sqref="J26">
    <cfRule type="expression" dxfId="25" priority="31">
      <formula>IF(AND(NOT(ISBLANK($I26)),NOW()&gt;$I26,OR($T26="On-going",$T26="New")),TRUE,FALSE)</formula>
    </cfRule>
  </conditionalFormatting>
  <conditionalFormatting sqref="J24">
    <cfRule type="expression" dxfId="24" priority="30">
      <formula>IF(AND(NOT(ISBLANK($I24)),NOW()&gt;$I24,OR($T24="On-going",$T24="New")),TRUE,FALSE)</formula>
    </cfRule>
  </conditionalFormatting>
  <conditionalFormatting sqref="J33">
    <cfRule type="expression" dxfId="23" priority="29">
      <formula>IF(AND(NOT(ISBLANK($I33)),NOW()&gt;$I33,OR($T33="On-going",$T33="New")),TRUE,FALSE)</formula>
    </cfRule>
  </conditionalFormatting>
  <conditionalFormatting sqref="X6">
    <cfRule type="expression" dxfId="22" priority="28">
      <formula>IF(AND(NOT(ISBLANK($I6)),NOW()&gt;$I6,OR($T6="On-going",$T6="New")),TRUE,FALSE)</formula>
    </cfRule>
  </conditionalFormatting>
  <conditionalFormatting sqref="V9">
    <cfRule type="expression" dxfId="21" priority="27">
      <formula>IF(AND(NOT(ISBLANK($I9)),NOW()&gt;$I9,OR($T9="On-going",$T9="New")),TRUE,FALSE)</formula>
    </cfRule>
  </conditionalFormatting>
  <conditionalFormatting sqref="V29">
    <cfRule type="expression" dxfId="20" priority="25">
      <formula>IF(AND(NOT(ISBLANK($I29)),NOW()&gt;$I29,OR($T29="On-going",$T29="New")),TRUE,FALSE)</formula>
    </cfRule>
  </conditionalFormatting>
  <conditionalFormatting sqref="V32">
    <cfRule type="expression" dxfId="19" priority="24">
      <formula>IF(AND(NOT(ISBLANK($I32)),NOW()&gt;$I32,OR($T32="On-going",$T32="New")),TRUE,FALSE)</formula>
    </cfRule>
  </conditionalFormatting>
  <conditionalFormatting sqref="V32">
    <cfRule type="expression" dxfId="18" priority="23">
      <formula>IF(AND(NOT(ISBLANK($I32)),NOW()&gt;$I32,OR($T32="On-going",$T32="New")),TRUE,FALSE)</formula>
    </cfRule>
  </conditionalFormatting>
  <conditionalFormatting sqref="V30">
    <cfRule type="expression" dxfId="17" priority="22">
      <formula>IF(AND(NOT(ISBLANK($I30)),NOW()&gt;$I30,OR($T30="On-going",$T30="New")),TRUE,FALSE)</formula>
    </cfRule>
  </conditionalFormatting>
  <conditionalFormatting sqref="V31">
    <cfRule type="expression" dxfId="16" priority="21">
      <formula>IF(AND(NOT(ISBLANK($I31)),NOW()&gt;$I31,OR($T31="On-going",$T31="New")),TRUE,FALSE)</formula>
    </cfRule>
  </conditionalFormatting>
  <conditionalFormatting sqref="X30">
    <cfRule type="expression" dxfId="15" priority="19">
      <formula>IF(AND(NOT(ISBLANK($I30)),NOW()&gt;$I30,OR($T30="On-going",$T30="New")),TRUE,FALSE)</formula>
    </cfRule>
  </conditionalFormatting>
  <conditionalFormatting sqref="X31">
    <cfRule type="expression" dxfId="14" priority="20">
      <formula>IF(AND(NOT(ISBLANK($I31)),NOW()&gt;$I31,OR($T31="On-going",$T31="New")),TRUE,FALSE)</formula>
    </cfRule>
  </conditionalFormatting>
  <conditionalFormatting sqref="X30">
    <cfRule type="expression" dxfId="13" priority="18">
      <formula>IF(AND(NOT(ISBLANK($I30)),NOW()&gt;$I30,OR($T30="On-going",$T30="New")),TRUE,FALSE)</formula>
    </cfRule>
  </conditionalFormatting>
  <conditionalFormatting sqref="X31">
    <cfRule type="expression" dxfId="12" priority="17">
      <formula>IF(AND(NOT(ISBLANK($I31)),NOW()&gt;$I31,OR($T31="On-going",$T31="New")),TRUE,FALSE)</formula>
    </cfRule>
  </conditionalFormatting>
  <conditionalFormatting sqref="X15:X16">
    <cfRule type="expression" dxfId="11" priority="16">
      <formula>IF(AND(NOT(ISBLANK($I15)),NOW()&gt;$I15,OR($T15="On-going",$T15="New")),TRUE,FALSE)</formula>
    </cfRule>
  </conditionalFormatting>
  <conditionalFormatting sqref="X18">
    <cfRule type="expression" dxfId="10" priority="15">
      <formula>IF(AND(NOT(ISBLANK($I18)),NOW()&gt;$I18,OR($T18="On-going",$T18="New")),TRUE,FALSE)</formula>
    </cfRule>
  </conditionalFormatting>
  <conditionalFormatting sqref="X17">
    <cfRule type="expression" dxfId="9" priority="14">
      <formula>IF(AND(NOT(ISBLANK($I17)),NOW()&gt;$I17,OR($T17="On-going",$T17="New")),TRUE,FALSE)</formula>
    </cfRule>
  </conditionalFormatting>
  <conditionalFormatting sqref="F9">
    <cfRule type="expression" dxfId="8" priority="13">
      <formula>IF(AND(NOT(ISBLANK($I9)),NOW()&gt;$I9,OR($T9="On-going",$T9="New")),TRUE,FALSE)</formula>
    </cfRule>
  </conditionalFormatting>
  <conditionalFormatting sqref="F10">
    <cfRule type="expression" dxfId="7" priority="12">
      <formula>IF(AND(NOT(ISBLANK($I10)),NOW()&gt;$I10,OR($T10="On-going",$T10="New")),TRUE,FALSE)</formula>
    </cfRule>
  </conditionalFormatting>
  <conditionalFormatting sqref="L9">
    <cfRule type="expression" dxfId="6" priority="11">
      <formula>IF(AND(NOT(ISBLANK($I9)),NOW()&gt;$I9,OR($T9="On-going",$T9="New")),TRUE,FALSE)</formula>
    </cfRule>
  </conditionalFormatting>
  <conditionalFormatting sqref="L10">
    <cfRule type="expression" dxfId="5" priority="9">
      <formula>IF(AND(NOT(ISBLANK($I10)),NOW()&gt;$I10,OR($T10="On-going",$T10="New")),TRUE,FALSE)</formula>
    </cfRule>
  </conditionalFormatting>
  <conditionalFormatting sqref="M6">
    <cfRule type="expression" dxfId="4" priority="8">
      <formula>IF(AND(NOT(ISBLANK($I6)),NOW()&gt;$I6,OR($T6="On-going",$T6="New")),TRUE,FALSE)</formula>
    </cfRule>
  </conditionalFormatting>
  <conditionalFormatting sqref="Q4:S5">
    <cfRule type="expression" dxfId="3" priority="7">
      <formula>IF(AND(NOT(ISBLANK($I4)),NOW()&gt;$I4,OR($T4="On-going",$T4="New")),TRUE,FALSE)</formula>
    </cfRule>
  </conditionalFormatting>
  <conditionalFormatting sqref="Q9">
    <cfRule type="expression" dxfId="2" priority="6">
      <formula>IF(AND(NOT(ISBLANK($I9)),NOW()&gt;$I9,OR($T9="On-going",$T9="New")),TRUE,FALSE)</formula>
    </cfRule>
  </conditionalFormatting>
  <conditionalFormatting sqref="Q10">
    <cfRule type="expression" dxfId="1" priority="4">
      <formula>IF(AND(NOT(ISBLANK($I10)),NOW()&gt;$I10,OR($T10="On-going",$T10="New")),TRUE,FALSE)</formula>
    </cfRule>
  </conditionalFormatting>
  <conditionalFormatting sqref="R6">
    <cfRule type="expression" dxfId="0" priority="3">
      <formula>IF(AND(NOT(ISBLANK($I6)),NOW()&gt;$I6,OR($T6="On-going",$T6="New")),TRUE,FALSE)</formula>
    </cfRule>
  </conditionalFormatting>
  <dataValidations count="2">
    <dataValidation type="list" allowBlank="1" showInputMessage="1" showErrorMessage="1" sqref="T4 O4">
      <formula1>"On-going, Reviewing, Reworking, Pending, Closed, Transferred, New, Cancel"</formula1>
    </dataValidation>
    <dataValidation type="list" allowBlank="1" showInputMessage="1" showErrorMessage="1" sqref="T5:T35 O5:O35">
      <formula1>"On-going, Reviewing, Reworking, Pending, Finished, Closed, Transferred, New, Cancel"</formula1>
    </dataValidation>
  </dataValidations>
  <pageMargins left="0.7" right="0.7" top="0.75" bottom="0.75" header="0.3" footer="0.3"/>
  <pageSetup paperSize="9" orientation="portrait" r:id="rId1"/>
  <webPublishItems count="1">
    <webPublishItem id="12760" divId="DenpyouLessSchedule-Web_12760" sourceType="sheet" destinationFile="D:\tmp\DenpyouLessSchedule-Web.htm"/>
  </webPublishItem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Resource!$B$2:$B$3</xm:f>
          </x14:formula1>
          <xm:sqref>F1:G2 F36:G1048576</xm:sqref>
        </x14:dataValidation>
        <x14:dataValidation type="list" allowBlank="1" showInputMessage="1" showErrorMessage="1">
          <x14:formula1>
            <xm:f>[1]Resource!#REF!</xm:f>
          </x14:formula1>
          <xm:sqref>F3:G3</xm:sqref>
        </x14:dataValidation>
        <x14:dataValidation type="list" allowBlank="1" showInputMessage="1" showErrorMessage="1">
          <x14:formula1>
            <xm:f>Resource!$B$2:$B$5</xm:f>
          </x14:formula1>
          <xm:sqref>F4:G35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"/>
  <sheetViews>
    <sheetView workbookViewId="0"/>
  </sheetViews>
  <sheetFormatPr defaultRowHeight="15"/>
  <cols>
    <col min="1" max="1" width="3.5703125" bestFit="1" customWidth="1"/>
    <col min="2" max="2" width="12.42578125" customWidth="1"/>
  </cols>
  <sheetData>
    <row r="1" spans="1:4">
      <c r="A1" s="1" t="s">
        <v>8</v>
      </c>
      <c r="B1" s="1" t="s">
        <v>0</v>
      </c>
      <c r="C1" s="1" t="s">
        <v>9</v>
      </c>
      <c r="D1" s="1" t="s">
        <v>7</v>
      </c>
    </row>
    <row r="2" spans="1:4">
      <c r="A2" s="1">
        <v>1</v>
      </c>
      <c r="B2" s="1" t="s">
        <v>22</v>
      </c>
      <c r="C2" s="1">
        <f>COUNTIF('Weekly Track'!$G$11:$G$922,Resource!B2)</f>
        <v>0</v>
      </c>
      <c r="D2" s="1">
        <f>SUMIF('Weekly Track'!$G$11:$G$922,Resource!B2,'Weekly Track'!$J$11:$J$922)</f>
        <v>0</v>
      </c>
    </row>
    <row r="3" spans="1:4">
      <c r="A3" s="1">
        <v>2</v>
      </c>
      <c r="B3" s="1" t="s">
        <v>80</v>
      </c>
      <c r="C3" s="1">
        <f>COUNTIF('Weekly Track'!$G$11:$G$922,Resource!B3)</f>
        <v>0</v>
      </c>
      <c r="D3" s="1">
        <f>SUMIF('Weekly Track'!$G$11:$G$922,Resource!B3,'Weekly Track'!$J$11:$J$922)</f>
        <v>0</v>
      </c>
    </row>
    <row r="4" spans="1:4">
      <c r="A4" s="1">
        <v>3</v>
      </c>
      <c r="B4" s="65"/>
      <c r="C4" s="1"/>
      <c r="D4" s="1"/>
    </row>
    <row r="5" spans="1:4">
      <c r="A5" s="1">
        <v>4</v>
      </c>
      <c r="B5" s="65"/>
      <c r="C5" s="1"/>
      <c r="D5" s="1"/>
    </row>
  </sheetData>
  <customSheetViews>
    <customSheetView guid="{6ABFDB73-A4FC-493C-A504-1276E731333B}" state="hidden">
      <selection activeCell="B13" sqref="B13"/>
      <pageMargins left="0.7" right="0.7" top="0.75" bottom="0.75" header="0.3" footer="0.3"/>
      <pageSetup paperSize="9" orientation="portrait" r:id="rId1"/>
    </customSheetView>
    <customSheetView guid="{9099418D-E49E-4572-BCBA-F1DE53B5DFAB}" state="hidden">
      <selection activeCell="B13" sqref="B13"/>
      <pageMargins left="0.7" right="0.7" top="0.75" bottom="0.75" header="0.3" footer="0.3"/>
      <pageSetup paperSize="9" orientation="portrait" r:id="rId2"/>
    </customSheetView>
    <customSheetView guid="{3D68303D-5E50-44AA-9745-976E940C48C6}" state="hidden">
      <selection activeCell="B13" sqref="B13"/>
      <pageMargins left="0.7" right="0.7" top="0.75" bottom="0.75" header="0.3" footer="0.3"/>
      <pageSetup paperSize="9" orientation="portrait" r:id="rId3"/>
    </customSheetView>
    <customSheetView guid="{7E427091-283A-453B-94EB-2B448709C24B}" state="hidden">
      <selection activeCell="B2" sqref="B2"/>
      <pageMargins left="0.7" right="0.7" top="0.75" bottom="0.75" header="0.3" footer="0.3"/>
      <pageSetup paperSize="9" orientation="portrait" r:id="rId4"/>
    </customSheetView>
    <customSheetView guid="{CBAA7D8B-D486-41DF-B6D0-D71293163E33}" state="hidden">
      <selection activeCell="B2" sqref="B2"/>
      <pageMargins left="0.7" right="0.7" top="0.75" bottom="0.75" header="0.3" footer="0.3"/>
      <pageSetup paperSize="9" orientation="portrait" r:id="rId5"/>
    </customSheetView>
    <customSheetView guid="{52646C22-009A-42DB-9645-9B1CCBC06272}" state="hidden">
      <selection activeCell="B2" sqref="B2"/>
      <pageMargins left="0.7" right="0.7" top="0.75" bottom="0.75" header="0.3" footer="0.3"/>
      <pageSetup paperSize="9" orientation="portrait" r:id="rId6"/>
    </customSheetView>
    <customSheetView guid="{A0179960-2037-454D-BA81-E315A8E16A3A}" state="hidden">
      <selection activeCell="B2" sqref="B2"/>
      <pageMargins left="0.7" right="0.7" top="0.75" bottom="0.75" header="0.3" footer="0.3"/>
      <pageSetup paperSize="9" orientation="portrait" r:id="rId7"/>
    </customSheetView>
    <customSheetView guid="{BA680C88-7FC3-49C3-AA14-74432754B497}" state="hidden">
      <selection activeCell="B2" sqref="B2"/>
      <pageMargins left="0.7" right="0.7" top="0.75" bottom="0.75" header="0.3" footer="0.3"/>
      <pageSetup paperSize="9" orientation="portrait" r:id="rId8"/>
    </customSheetView>
    <customSheetView guid="{9B6049CB-74F7-4A4B-BDEE-129DA6BA93C7}" state="hidden">
      <selection activeCell="D5" sqref="D5"/>
      <pageMargins left="0.7" right="0.7" top="0.75" bottom="0.75" header="0.3" footer="0.3"/>
      <pageSetup paperSize="9" orientation="portrait" r:id="rId9"/>
    </customSheetView>
    <customSheetView guid="{A521652D-57C6-4292-A79A-663908B7FF11}" state="hidden">
      <selection activeCell="B6" sqref="B6"/>
      <pageMargins left="0.7" right="0.7" top="0.75" bottom="0.75" header="0.3" footer="0.3"/>
      <pageSetup paperSize="9" orientation="portrait" r:id="rId10"/>
    </customSheetView>
    <customSheetView guid="{44117B2C-C61F-437C-A9C5-65A80C2AE348}" state="hidden">
      <selection activeCell="B2" sqref="B2"/>
      <pageMargins left="0.7" right="0.7" top="0.75" bottom="0.75" header="0.3" footer="0.3"/>
      <pageSetup paperSize="9" orientation="portrait" r:id="rId11"/>
    </customSheetView>
    <customSheetView guid="{7AC9EE31-E3C8-43A5-8490-C2342F28991D}" state="hidden">
      <selection activeCell="B2" sqref="B2"/>
      <pageMargins left="0.7" right="0.7" top="0.75" bottom="0.75" header="0.3" footer="0.3"/>
      <pageSetup paperSize="9" orientation="portrait" r:id="rId12"/>
    </customSheetView>
    <customSheetView guid="{051D1CA9-AD3E-4268-8658-F8950473509F}" state="hidden">
      <selection activeCell="B2" sqref="B2"/>
      <pageMargins left="0.7" right="0.7" top="0.75" bottom="0.75" header="0.3" footer="0.3"/>
      <pageSetup paperSize="9" orientation="portrait" r:id="rId13"/>
    </customSheetView>
    <customSheetView guid="{8C47ADE1-7CA3-4AB3-A749-547B18615B1D}" state="hidden">
      <selection activeCell="B2" sqref="B2"/>
      <pageMargins left="0.7" right="0.7" top="0.75" bottom="0.75" header="0.3" footer="0.3"/>
      <pageSetup paperSize="9" orientation="portrait" r:id="rId14"/>
    </customSheetView>
    <customSheetView guid="{C55B95B2-4161-4E6D-8703-1A83FF9F95D4}" state="hidden">
      <selection activeCell="B2" sqref="B2"/>
      <pageMargins left="0.7" right="0.7" top="0.75" bottom="0.75" header="0.3" footer="0.3"/>
      <pageSetup paperSize="9" orientation="portrait" r:id="rId15"/>
    </customSheetView>
    <customSheetView guid="{63BBB3C8-2BBD-47A9-8577-895E120CF491}" state="hidden">
      <selection activeCell="B2" sqref="B2"/>
      <pageMargins left="0.7" right="0.7" top="0.75" bottom="0.75" header="0.3" footer="0.3"/>
      <pageSetup paperSize="9" orientation="portrait" r:id="rId16"/>
    </customSheetView>
    <customSheetView guid="{5DC62200-E966-42EC-876C-0B719896BF62}" state="hidden">
      <selection activeCell="B13" sqref="B13"/>
      <pageMargins left="0.7" right="0.7" top="0.75" bottom="0.75" header="0.3" footer="0.3"/>
      <pageSetup paperSize="9" orientation="portrait" r:id="rId17"/>
    </customSheetView>
    <customSheetView guid="{28579E25-F775-48E1-98C2-206BE5E524FE}" state="hidden">
      <selection activeCell="B13" sqref="B13"/>
      <pageMargins left="0.7" right="0.7" top="0.75" bottom="0.75" header="0.3" footer="0.3"/>
      <pageSetup paperSize="9" orientation="portrait" r:id="rId18"/>
    </customSheetView>
    <customSheetView guid="{496B1B49-F920-48C1-B26E-9A1F4E6E5157}" state="hidden">
      <selection activeCell="B13" sqref="B13"/>
      <pageMargins left="0.7" right="0.7" top="0.75" bottom="0.75" header="0.3" footer="0.3"/>
      <pageSetup paperSize="9" orientation="portrait" r:id="rId19"/>
    </customSheetView>
    <customSheetView guid="{C04FD524-FA0C-4C41-A249-FB149D6DB51F}" state="hidden">
      <selection activeCell="B13" sqref="B13"/>
      <pageMargins left="0.7" right="0.7" top="0.75" bottom="0.75" header="0.3" footer="0.3"/>
      <pageSetup paperSize="9" orientation="portrait" r:id="rId20"/>
    </customSheetView>
    <customSheetView guid="{EF4C86B4-137F-4865-AAA8-DFA18E73126C}" state="hidden">
      <selection activeCell="B13" sqref="B13"/>
      <pageMargins left="0.7" right="0.7" top="0.75" bottom="0.75" header="0.3" footer="0.3"/>
      <pageSetup paperSize="9" orientation="portrait" r:id="rId21"/>
    </customSheetView>
  </customSheetViews>
  <phoneticPr fontId="10"/>
  <pageMargins left="0.7" right="0.7" top="0.75" bottom="0.75" header="0.3" footer="0.3"/>
  <pageSetup paperSize="9" orientation="portrait" r:id="rId2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7"/>
  <sheetViews>
    <sheetView workbookViewId="0">
      <selection activeCell="C30" sqref="C30"/>
    </sheetView>
  </sheetViews>
  <sheetFormatPr defaultRowHeight="15"/>
  <cols>
    <col min="1" max="1" width="10.140625" bestFit="1" customWidth="1"/>
    <col min="2" max="2" width="21.85546875" bestFit="1" customWidth="1"/>
  </cols>
  <sheetData>
    <row r="1" spans="1:2">
      <c r="A1" s="2" t="s">
        <v>1</v>
      </c>
      <c r="B1" s="2" t="s">
        <v>2</v>
      </c>
    </row>
    <row r="2" spans="1:2">
      <c r="A2" s="3">
        <v>43570</v>
      </c>
      <c r="B2" s="4">
        <v>1</v>
      </c>
    </row>
    <row r="3" spans="1:2">
      <c r="A3" s="3">
        <v>43585</v>
      </c>
      <c r="B3" s="25">
        <v>1</v>
      </c>
    </row>
    <row r="4" spans="1:2">
      <c r="A4" s="3">
        <v>43586</v>
      </c>
      <c r="B4" s="25">
        <v>1</v>
      </c>
    </row>
    <row r="5" spans="1:2">
      <c r="A5" s="3"/>
      <c r="B5" s="6"/>
    </row>
    <row r="6" spans="1:2">
      <c r="A6" s="3"/>
      <c r="B6" s="5"/>
    </row>
    <row r="7" spans="1:2">
      <c r="A7" s="3"/>
      <c r="B7" s="5"/>
    </row>
    <row r="8" spans="1:2">
      <c r="A8" s="3"/>
      <c r="B8" s="4"/>
    </row>
    <row r="9" spans="1:2">
      <c r="A9" s="3"/>
      <c r="B9" s="1"/>
    </row>
    <row r="10" spans="1:2">
      <c r="A10" s="3"/>
      <c r="B10" s="1"/>
    </row>
    <row r="11" spans="1:2">
      <c r="A11" s="3"/>
      <c r="B11" s="1"/>
    </row>
    <row r="12" spans="1:2">
      <c r="A12" s="3"/>
      <c r="B12" s="1"/>
    </row>
    <row r="13" spans="1:2">
      <c r="A13" s="3"/>
      <c r="B13" s="1"/>
    </row>
    <row r="14" spans="1:2">
      <c r="A14" s="3"/>
      <c r="B14" s="1"/>
    </row>
    <row r="15" spans="1:2">
      <c r="A15" s="3"/>
      <c r="B15" s="1"/>
    </row>
    <row r="16" spans="1:2">
      <c r="A16" s="3"/>
      <c r="B16" s="1"/>
    </row>
    <row r="17" spans="1:2">
      <c r="A17" s="3"/>
      <c r="B17" s="1"/>
    </row>
  </sheetData>
  <customSheetViews>
    <customSheetView guid="{6ABFDB73-A4FC-493C-A504-1276E731333B}" state="hidden">
      <selection activeCell="B20" sqref="B20"/>
      <pageMargins left="0.7" right="0.7" top="0.75" bottom="0.75" header="0.3" footer="0.3"/>
    </customSheetView>
    <customSheetView guid="{9099418D-E49E-4572-BCBA-F1DE53B5DFAB}" state="hidden">
      <selection activeCell="B20" sqref="B20"/>
      <pageMargins left="0.7" right="0.7" top="0.75" bottom="0.75" header="0.3" footer="0.3"/>
    </customSheetView>
    <customSheetView guid="{3D68303D-5E50-44AA-9745-976E940C48C6}" state="hidden">
      <selection activeCell="B20" sqref="B20"/>
      <pageMargins left="0.7" right="0.7" top="0.75" bottom="0.75" header="0.3" footer="0.3"/>
    </customSheetView>
    <customSheetView guid="{7E427091-283A-453B-94EB-2B448709C24B}" state="hidden">
      <selection activeCell="B40" sqref="B40"/>
      <pageMargins left="0.7" right="0.7" top="0.75" bottom="0.75" header="0.3" footer="0.3"/>
    </customSheetView>
    <customSheetView guid="{CBAA7D8B-D486-41DF-B6D0-D71293163E33}" state="hidden">
      <selection activeCell="B40" sqref="B40"/>
      <pageMargins left="0.7" right="0.7" top="0.75" bottom="0.75" header="0.3" footer="0.3"/>
    </customSheetView>
    <customSheetView guid="{52646C22-009A-42DB-9645-9B1CCBC06272}" state="hidden">
      <selection activeCell="B40" sqref="B40"/>
      <pageMargins left="0.7" right="0.7" top="0.75" bottom="0.75" header="0.3" footer="0.3"/>
    </customSheetView>
    <customSheetView guid="{A0179960-2037-454D-BA81-E315A8E16A3A}" state="hidden">
      <selection activeCell="B40" sqref="B40"/>
      <pageMargins left="0.7" right="0.7" top="0.75" bottom="0.75" header="0.3" footer="0.3"/>
    </customSheetView>
    <customSheetView guid="{BA680C88-7FC3-49C3-AA14-74432754B497}" state="hidden">
      <selection activeCell="B40" sqref="B40"/>
      <pageMargins left="0.7" right="0.7" top="0.75" bottom="0.75" header="0.3" footer="0.3"/>
    </customSheetView>
    <customSheetView guid="{9B6049CB-74F7-4A4B-BDEE-129DA6BA93C7}" state="hidden">
      <selection activeCell="B40" sqref="B40"/>
      <pageMargins left="0.7" right="0.7" top="0.75" bottom="0.75" header="0.3" footer="0.3"/>
    </customSheetView>
    <customSheetView guid="{8EE48057-80AB-4D49-9FEE-65CF78F2A246}">
      <selection activeCell="E32" sqref="E32"/>
      <pageMargins left="0.7" right="0.7" top="0.75" bottom="0.75" header="0.3" footer="0.3"/>
    </customSheetView>
    <customSheetView guid="{66AA5AAA-E54D-4A50-AB0E-D892E8DA9C76}">
      <selection activeCell="B11" sqref="B11"/>
      <pageMargins left="0.7" right="0.7" top="0.75" bottom="0.75" header="0.3" footer="0.3"/>
    </customSheetView>
    <customSheetView guid="{73565361-97F7-42F4-837A-37945610F80B}">
      <selection activeCell="B11" sqref="B11"/>
      <pageMargins left="0.7" right="0.7" top="0.75" bottom="0.75" header="0.3" footer="0.3"/>
    </customSheetView>
    <customSheetView guid="{0A8A44BC-FA6E-44CD-94F6-F4BD52D3D8DF}">
      <selection activeCell="B11" sqref="B11"/>
      <pageMargins left="0.7" right="0.7" top="0.75" bottom="0.75" header="0.3" footer="0.3"/>
    </customSheetView>
    <customSheetView guid="{A521652D-57C6-4292-A79A-663908B7FF11}" state="hidden">
      <selection activeCell="B40" sqref="B40"/>
      <pageMargins left="0.7" right="0.7" top="0.75" bottom="0.75" header="0.3" footer="0.3"/>
    </customSheetView>
    <customSheetView guid="{44117B2C-C61F-437C-A9C5-65A80C2AE348}" state="hidden">
      <selection activeCell="B40" sqref="B40"/>
      <pageMargins left="0.7" right="0.7" top="0.75" bottom="0.75" header="0.3" footer="0.3"/>
    </customSheetView>
    <customSheetView guid="{7AC9EE31-E3C8-43A5-8490-C2342F28991D}" state="hidden">
      <selection activeCell="B40" sqref="B40"/>
      <pageMargins left="0.7" right="0.7" top="0.75" bottom="0.75" header="0.3" footer="0.3"/>
    </customSheetView>
    <customSheetView guid="{051D1CA9-AD3E-4268-8658-F8950473509F}" state="hidden">
      <selection activeCell="B40" sqref="B40"/>
      <pageMargins left="0.7" right="0.7" top="0.75" bottom="0.75" header="0.3" footer="0.3"/>
    </customSheetView>
    <customSheetView guid="{8C47ADE1-7CA3-4AB3-A749-547B18615B1D}" state="hidden">
      <selection activeCell="B40" sqref="B40"/>
      <pageMargins left="0.7" right="0.7" top="0.75" bottom="0.75" header="0.3" footer="0.3"/>
    </customSheetView>
    <customSheetView guid="{C55B95B2-4161-4E6D-8703-1A83FF9F95D4}" state="hidden">
      <selection activeCell="B40" sqref="B40"/>
      <pageMargins left="0.7" right="0.7" top="0.75" bottom="0.75" header="0.3" footer="0.3"/>
    </customSheetView>
    <customSheetView guid="{63BBB3C8-2BBD-47A9-8577-895E120CF491}" state="hidden">
      <selection activeCell="B40" sqref="B40"/>
      <pageMargins left="0.7" right="0.7" top="0.75" bottom="0.75" header="0.3" footer="0.3"/>
    </customSheetView>
    <customSheetView guid="{5DC62200-E966-42EC-876C-0B719896BF62}" state="hidden">
      <selection activeCell="B20" sqref="B20"/>
      <pageMargins left="0.7" right="0.7" top="0.75" bottom="0.75" header="0.3" footer="0.3"/>
    </customSheetView>
    <customSheetView guid="{28579E25-F775-48E1-98C2-206BE5E524FE}" state="hidden">
      <selection activeCell="B20" sqref="B20"/>
      <pageMargins left="0.7" right="0.7" top="0.75" bottom="0.75" header="0.3" footer="0.3"/>
    </customSheetView>
    <customSheetView guid="{496B1B49-F920-48C1-B26E-9A1F4E6E5157}" state="hidden">
      <selection activeCell="B20" sqref="B20"/>
      <pageMargins left="0.7" right="0.7" top="0.75" bottom="0.75" header="0.3" footer="0.3"/>
    </customSheetView>
    <customSheetView guid="{C04FD524-FA0C-4C41-A249-FB149D6DB51F}" state="hidden">
      <selection activeCell="B20" sqref="B20"/>
      <pageMargins left="0.7" right="0.7" top="0.75" bottom="0.75" header="0.3" footer="0.3"/>
    </customSheetView>
    <customSheetView guid="{EF4C86B4-137F-4865-AAA8-DFA18E73126C}" state="hidden">
      <selection activeCell="B20" sqref="B20"/>
      <pageMargins left="0.7" right="0.7" top="0.75" bottom="0.75" header="0.3" footer="0.3"/>
    </customSheetView>
  </customSheetViews>
  <phoneticPr fontId="1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3"/>
  <sheetViews>
    <sheetView workbookViewId="0">
      <selection activeCell="D9" sqref="D9"/>
    </sheetView>
  </sheetViews>
  <sheetFormatPr defaultRowHeight="15"/>
  <sheetData>
    <row r="2" spans="2:2">
      <c r="B2" t="s">
        <v>74</v>
      </c>
    </row>
    <row r="3" spans="2:2">
      <c r="B3" t="s">
        <v>72</v>
      </c>
    </row>
  </sheetData>
  <phoneticPr fontId="1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05"/>
  <sheetViews>
    <sheetView topLeftCell="A94" workbookViewId="0">
      <selection activeCell="N114" sqref="N114"/>
    </sheetView>
  </sheetViews>
  <sheetFormatPr defaultRowHeight="15"/>
  <sheetData>
    <row r="1" spans="1:2" ht="22.5">
      <c r="A1" s="83" t="s">
        <v>82</v>
      </c>
    </row>
    <row r="3" spans="1:2">
      <c r="A3" t="s">
        <v>81</v>
      </c>
    </row>
    <row r="4" spans="1:2">
      <c r="B4" t="s">
        <v>83</v>
      </c>
    </row>
    <row r="5" spans="1:2">
      <c r="B5" t="s">
        <v>84</v>
      </c>
    </row>
    <row r="6" spans="1:2">
      <c r="B6" s="85" t="s">
        <v>91</v>
      </c>
    </row>
    <row r="8" spans="1:2">
      <c r="B8" t="s">
        <v>89</v>
      </c>
    </row>
    <row r="9" spans="1:2">
      <c r="B9" s="85" t="s">
        <v>93</v>
      </c>
    </row>
    <row r="11" spans="1:2">
      <c r="B11" t="s">
        <v>85</v>
      </c>
    </row>
    <row r="12" spans="1:2">
      <c r="B12" s="85" t="s">
        <v>94</v>
      </c>
    </row>
    <row r="14" spans="1:2">
      <c r="B14" t="s">
        <v>86</v>
      </c>
    </row>
    <row r="16" spans="1:2">
      <c r="B16" t="s">
        <v>87</v>
      </c>
    </row>
    <row r="18" spans="2:2">
      <c r="B18" t="s">
        <v>88</v>
      </c>
    </row>
    <row r="34" spans="2:2">
      <c r="B34" t="s">
        <v>90</v>
      </c>
    </row>
    <row r="35" spans="2:2">
      <c r="B35" t="s">
        <v>92</v>
      </c>
    </row>
    <row r="99" spans="2:10">
      <c r="B99" t="s">
        <v>95</v>
      </c>
    </row>
    <row r="101" spans="2:10">
      <c r="B101" t="s">
        <v>97</v>
      </c>
    </row>
    <row r="102" spans="2:10">
      <c r="B102" t="s">
        <v>98</v>
      </c>
    </row>
    <row r="103" spans="2:10">
      <c r="B103" t="s">
        <v>99</v>
      </c>
      <c r="J103" t="s">
        <v>102</v>
      </c>
    </row>
    <row r="104" spans="2:10">
      <c r="B104" s="84" t="s">
        <v>103</v>
      </c>
    </row>
    <row r="105" spans="2:10">
      <c r="B105" s="84" t="s">
        <v>104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Weekly Track</vt:lpstr>
      <vt:lpstr>Resource</vt:lpstr>
      <vt:lpstr>Holidays</vt:lpstr>
      <vt:lpstr>HTML.CSS ex</vt:lpstr>
      <vt:lpstr>React ex</vt:lpstr>
      <vt:lpstr>Q&amp;A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vie25957</dc:creator>
  <cp:lastModifiedBy>Thi Dang Thi Kim</cp:lastModifiedBy>
  <dcterms:created xsi:type="dcterms:W3CDTF">2011-01-17T13:39:46Z</dcterms:created>
  <dcterms:modified xsi:type="dcterms:W3CDTF">2020-10-05T06:47:06Z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936093109</vt:i4>
  </property>
  <property fmtid="{D5CDD505-2E9C-101B-9397-08002B2CF9AE}" pid="3" name="_NewReviewCycle">
    <vt:lpwstr/>
  </property>
  <property fmtid="{D5CDD505-2E9C-101B-9397-08002B2CF9AE}" pid="4" name="_EmailSubject">
    <vt:lpwstr>FILE "leave record"</vt:lpwstr>
  </property>
  <property fmtid="{D5CDD505-2E9C-101B-9397-08002B2CF9AE}" pid="5" name="_AuthorEmail">
    <vt:lpwstr>receptionist.vn@aricent.com</vt:lpwstr>
  </property>
  <property fmtid="{D5CDD505-2E9C-101B-9397-08002B2CF9AE}" pid="6" name="_AuthorEmailDisplayName">
    <vt:lpwstr>Receptionist Vietnam</vt:lpwstr>
  </property>
  <property fmtid="{D5CDD505-2E9C-101B-9397-08002B2CF9AE}" pid="7" name="_ReviewingToolsShownOnce">
    <vt:lpwstr/>
  </property>
  <property fmtid="{D5CDD505-2E9C-101B-9397-08002B2CF9AE}" pid="8" name="WorkbookGuid">
    <vt:lpwstr>625297b6-ae6d-406e-81ee-6fe3427030a7</vt:lpwstr>
  </property>
</Properties>
</file>